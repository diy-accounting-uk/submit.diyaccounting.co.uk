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Debtors" sheetId="1" state="visible" r:id="rId3"/>
    <sheet name="Nov" sheetId="2" state="visible" r:id="rId4"/>
    <sheet name="Dec" sheetId="3" state="visible" r:id="rId5"/>
    <sheet name="Jan" sheetId="4" state="visible" r:id="rId6"/>
    <sheet name="Feb" sheetId="5" state="visible" r:id="rId7"/>
    <sheet name="Mar" sheetId="6" state="visible" r:id="rId8"/>
    <sheet name="Apr" sheetId="7" state="visible" r:id="rId9"/>
    <sheet name="May" sheetId="8" state="visible" r:id="rId10"/>
    <sheet name="Jun" sheetId="9" state="visible" r:id="rId11"/>
    <sheet name="Jul" sheetId="10" state="visible" r:id="rId12"/>
    <sheet name="Aug" sheetId="11" state="visible" r:id="rId13"/>
    <sheet name="Sep" sheetId="12" state="visible" r:id="rId14"/>
    <sheet name="Oct" sheetId="13" state="visible" r:id="rId15"/>
    <sheet name="ClosingDebtors" sheetId="14" state="visible" r:id="rId16"/>
  </sheets>
  <externalReferences>
    <externalReference r:id="rId17"/>
  </externalReferences>
  <definedNames>
    <definedName function="false" hidden="false" localSheetId="13" name="_xlnm.Print_Area" vbProcedure="false">ClosingDebtors!$A$1:$P$75</definedName>
    <definedName function="false" hidden="false" localSheetId="13" name="_xlnm.Print_Titles" vbProcedure="false">ClosingDebtors!$A:$D,ClosingDebtors!$1:$4</definedName>
    <definedName function="false" hidden="false" localSheetId="0" name="_xlnm.Print_Area" vbProcedure="false">OpeningDebtors!$A$1:$P$75</definedName>
    <definedName function="false" hidden="false" localSheetId="0" name="_xlnm.Print_Titles" vbProcedure="false">OpeningDebtors!$A:$D,OpeningDebtors!$1:$4</definedName>
    <definedName function="false" hidden="false" localSheetId="0" name="Excel_BuiltIn_Print_Titles" vbProcedure="false">(OpeningDebtors!$A:$D,OpeningDebtors!$1:$4)</definedName>
    <definedName function="false" hidden="false" localSheetId="0" name="_xlnm_Print_Area" vbProcedure="false">OpeningDebtors!$A$1:$P$75</definedName>
    <definedName function="false" hidden="false" localSheetId="0" name="_xlnm_Print_Titles" vbProcedure="false">(OpeningDebtors!$A:$D,OpeningDebtors!$1:$4)</definedName>
    <definedName function="false" hidden="false" localSheetId="1" name="_xlnm_Print_Area" vbProcedure="false">Apr!$A$1:$W$75</definedName>
    <definedName function="false" hidden="false" localSheetId="1" name="_xlnm_Print_Titles" vbProcedure="false">(Apr!$A:$D,Apr!$1:$4)</definedName>
    <definedName function="false" hidden="false" localSheetId="2" name="_xlnm_Print_Area" vbProcedure="false">May!$A$1:$W$75</definedName>
    <definedName function="false" hidden="false" localSheetId="2" name="_xlnm_Print_Titles" vbProcedure="false">(May!$A:$D,May!$1:$4)</definedName>
    <definedName function="false" hidden="false" localSheetId="3" name="_xlnm_Print_Area" vbProcedure="false">Jun!$A$1:$W$75</definedName>
    <definedName function="false" hidden="false" localSheetId="3" name="_xlnm_Print_Titles" vbProcedure="false">(Jun!$A:$D,Jun!$1:$4)</definedName>
    <definedName function="false" hidden="false" localSheetId="4" name="_xlnm_Print_Area" vbProcedure="false">Jul!$A$1:$W$75</definedName>
    <definedName function="false" hidden="false" localSheetId="4" name="_xlnm_Print_Titles" vbProcedure="false">(Jul!$A:$D,Jul!$1:$4)</definedName>
    <definedName function="false" hidden="false" localSheetId="5" name="_xlnm_Print_Area" vbProcedure="false">Aug!$A$1:$W$75</definedName>
    <definedName function="false" hidden="false" localSheetId="5" name="_xlnm_Print_Titles" vbProcedure="false">(Aug!$A:$D,Aug!$1:$4)</definedName>
    <definedName function="false" hidden="false" localSheetId="6" name="_xlnm_Print_Area" vbProcedure="false">Sep!$A$1:$W$75</definedName>
    <definedName function="false" hidden="false" localSheetId="6" name="_xlnm_Print_Titles" vbProcedure="false">(Sep!$A:$D,Sep!$1:$4)</definedName>
    <definedName function="false" hidden="false" localSheetId="7" name="_xlnm_Print_Area" vbProcedure="false">Oct!$A$1:$W$75</definedName>
    <definedName function="false" hidden="false" localSheetId="7" name="_xlnm_Print_Titles" vbProcedure="false">(Oct!$A:$D,Oct!$1:$4)</definedName>
    <definedName function="false" hidden="false" localSheetId="8" name="_xlnm_Print_Area" vbProcedure="false">Nov!$A$1:$W$75</definedName>
    <definedName function="false" hidden="false" localSheetId="8" name="_xlnm_Print_Titles" vbProcedure="false">(Nov!$A:$D,Nov!$1:$4)</definedName>
    <definedName function="false" hidden="false" localSheetId="9" name="_xlnm_Print_Area" vbProcedure="false">Dec!$A$1:$W$75</definedName>
    <definedName function="false" hidden="false" localSheetId="9" name="_xlnm_Print_Titles" vbProcedure="false">(Dec!$A:$D,Dec!$1:$4)</definedName>
    <definedName function="false" hidden="false" localSheetId="10" name="_xlnm_Print_Area" vbProcedure="false">Jan!$A$1:$W$75</definedName>
    <definedName function="false" hidden="false" localSheetId="10" name="_xlnm_Print_Titles" vbProcedure="false">(Jan!$A:$D,Jan!$1:$4)</definedName>
    <definedName function="false" hidden="false" localSheetId="11" name="_xlnm_Print_Area" vbProcedure="false">Feb!$A$1:$W$75</definedName>
    <definedName function="false" hidden="false" localSheetId="11" name="_xlnm_Print_Titles" vbProcedure="false">(Feb!$A:$D,Feb!$1:$4)</definedName>
    <definedName function="false" hidden="false" localSheetId="12" name="_xlnm_Print_Area" vbProcedure="false">Mar!$A$1:$W$75</definedName>
    <definedName function="false" hidden="false" localSheetId="12" name="_xlnm_Print_Titles" vbProcedure="false">(Mar!$A:$D,Mar!$1:$4)</definedName>
    <definedName function="false" hidden="false" localSheetId="13" name="Excel_BuiltIn_Print_Titles" vbProcedure="false">(ClosingDebtors!$A:$D,ClosingDebtors!$1:$4)</definedName>
    <definedName function="false" hidden="false" localSheetId="13" name="_xlnm_Print_Area" vbProcedure="false">ClosingDebtors!$A$1:$P$75</definedName>
    <definedName function="false" hidden="false" localSheetId="13" name="_xlnm_Print_Titles" vbProcedure="false">(ClosingDebtors!$A:$D,ClosingDebtors!$1:$4)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<sst xmlns="http://schemas.openxmlformats.org/spreadsheetml/2006/main" count="1002" uniqueCount="211">
  <si>
    <t xml:space="preserve">Opening Debtors Balance</t>
  </si>
  <si>
    <t xml:space="preserve">Total in C1 should equal F1</t>
  </si>
  <si>
    <t xml:space="preserve">For your information only. Enter How Paid e.g. Cash, Cheque etc.,</t>
  </si>
  <si>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</si>
  <si>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</si>
  <si>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</si>
  <si>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</si>
  <si>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Sales Value including   Vat</t>
  </si>
  <si>
    <t xml:space="preserve">Sales         Net of Vat</t>
  </si>
  <si>
    <t xml:space="preserve">Receipts from Customers</t>
  </si>
  <si>
    <t xml:space="preserve">Sub contractors only</t>
  </si>
  <si>
    <t xml:space="preserve">Vat       Output</t>
  </si>
  <si>
    <t xml:space="preserve">Actual amount received</t>
  </si>
  <si>
    <t xml:space="preserve">Sales Value not yet received</t>
  </si>
  <si>
    <t xml:space="preserve">Number of Days Outstanding</t>
  </si>
  <si>
    <t xml:space="preserve">CIS Tax Deducted</t>
  </si>
  <si>
    <t xml:space="preserve">CIS Certificate reference</t>
  </si>
  <si>
    <t xml:space="preserve">Acme Corp</t>
  </si>
  <si>
    <t xml:space="preserve">INV-0901</t>
  </si>
  <si>
    <t xml:space="preserve">Beta Systems</t>
  </si>
  <si>
    <t xml:space="preserve">INV-0902</t>
  </si>
  <si>
    <t xml:space="preserve">Gamma Ltd</t>
  </si>
  <si>
    <t xml:space="preserve">INV-0903</t>
  </si>
  <si>
    <t xml:space="preserve">Check Total</t>
  </si>
  <si>
    <t xml:space="preserve">Total for Month</t>
  </si>
  <si>
    <t xml:space="preserve"> Enter Expense Code Letter</t>
  </si>
  <si>
    <t xml:space="preserve">Sales           Net of Vat</t>
  </si>
  <si>
    <t xml:space="preserve">Sales Net of Vat</t>
  </si>
  <si>
    <t xml:space="preserve">Other Income</t>
  </si>
  <si>
    <t xml:space="preserve">Investment Grants</t>
  </si>
  <si>
    <t xml:space="preserve">Bad Debts written off</t>
  </si>
  <si>
    <t xml:space="preserve">Sale of          Fixed Assets</t>
  </si>
  <si>
    <t xml:space="preserve">Product          A</t>
  </si>
  <si>
    <t xml:space="preserve">Product      B</t>
  </si>
  <si>
    <t xml:space="preserve">Product        C</t>
  </si>
  <si>
    <t xml:space="preserve">A</t>
  </si>
  <si>
    <t xml:space="preserve">B</t>
  </si>
  <si>
    <t xml:space="preserve">C</t>
  </si>
  <si>
    <t xml:space="preserve">D</t>
  </si>
  <si>
    <t xml:space="preserve">G</t>
  </si>
  <si>
    <t xml:space="preserve">O</t>
  </si>
  <si>
    <t xml:space="preserve">FS</t>
  </si>
  <si>
    <t xml:space="preserve">INV-1301</t>
  </si>
  <si>
    <t xml:space="preserve">Software licence renewal</t>
  </si>
  <si>
    <t xml:space="preserve">b</t>
  </si>
  <si>
    <t xml:space="preserve">4001</t>
  </si>
  <si>
    <t xml:space="preserve">FreshField Ltd</t>
  </si>
  <si>
    <t xml:space="preserve">INV-2601</t>
  </si>
  <si>
    <t xml:space="preserve">Software monitoring licence</t>
  </si>
  <si>
    <t xml:space="preserve">CloudNine Ltd</t>
  </si>
  <si>
    <t xml:space="preserve">INV-1401</t>
  </si>
  <si>
    <t xml:space="preserve">SaaS licence fee</t>
  </si>
  <si>
    <t xml:space="preserve">Cedar Systems</t>
  </si>
  <si>
    <t xml:space="preserve">INV-2401</t>
  </si>
  <si>
    <t xml:space="preserve">Managed services</t>
  </si>
  <si>
    <t xml:space="preserve">a</t>
  </si>
  <si>
    <t xml:space="preserve">4000</t>
  </si>
  <si>
    <t xml:space="preserve">Pinnacle Group</t>
  </si>
  <si>
    <t xml:space="preserve">INV-2201</t>
  </si>
  <si>
    <t xml:space="preserve">Monthly support contract</t>
  </si>
  <si>
    <t xml:space="preserve">INV-1001</t>
  </si>
  <si>
    <t xml:space="preserve">IT consultancy services</t>
  </si>
  <si>
    <t xml:space="preserve">TechStart Ltd</t>
  </si>
  <si>
    <t xml:space="preserve">INV-1101</t>
  </si>
  <si>
    <t xml:space="preserve">IT consultancy retainer</t>
  </si>
  <si>
    <t xml:space="preserve">DataFlow Inc</t>
  </si>
  <si>
    <t xml:space="preserve">INV-1201</t>
  </si>
  <si>
    <t xml:space="preserve">Ad-hoc consultancy project</t>
  </si>
  <si>
    <t xml:space="preserve">Horizon Analytics</t>
  </si>
  <si>
    <t xml:space="preserve">INV-2701</t>
  </si>
  <si>
    <t xml:space="preserve">Data analytics commission</t>
  </si>
  <si>
    <t xml:space="preserve">d</t>
  </si>
  <si>
    <t xml:space="preserve">4003</t>
  </si>
  <si>
    <t xml:space="preserve">INV-2602</t>
  </si>
  <si>
    <t xml:space="preserve">INV-1402</t>
  </si>
  <si>
    <t xml:space="preserve">INV-2402</t>
  </si>
  <si>
    <t xml:space="preserve">INV-2202</t>
  </si>
  <si>
    <t xml:space="preserve">QuickFix IT</t>
  </si>
  <si>
    <t xml:space="preserve">INV-2001</t>
  </si>
  <si>
    <t xml:space="preserve">IT support consultancy</t>
  </si>
  <si>
    <t xml:space="preserve">INV-1002</t>
  </si>
  <si>
    <t xml:space="preserve">Summit Training</t>
  </si>
  <si>
    <t xml:space="preserve">INV-2801</t>
  </si>
  <si>
    <t xml:space="preserve">Technical training delivery</t>
  </si>
  <si>
    <t xml:space="preserve">c</t>
  </si>
  <si>
    <t xml:space="preserve">4002</t>
  </si>
  <si>
    <t xml:space="preserve">INV-1102</t>
  </si>
  <si>
    <t xml:space="preserve">Oakridge Partners</t>
  </si>
  <si>
    <t xml:space="preserve">INV-2501</t>
  </si>
  <si>
    <t xml:space="preserve">Quarterly consulting engagement</t>
  </si>
  <si>
    <t xml:space="preserve">INV-2603</t>
  </si>
  <si>
    <t xml:space="preserve">INV-1403</t>
  </si>
  <si>
    <t xml:space="preserve">INV-2403</t>
  </si>
  <si>
    <t xml:space="preserve">INV-2203</t>
  </si>
  <si>
    <t xml:space="preserve">INV-1003</t>
  </si>
  <si>
    <t xml:space="preserve">INV-1103</t>
  </si>
  <si>
    <t xml:space="preserve">INV-1202</t>
  </si>
  <si>
    <t xml:space="preserve">INV-1501</t>
  </si>
  <si>
    <t xml:space="preserve">Advanced DevOps training course</t>
  </si>
  <si>
    <t xml:space="preserve">WidgetWorks</t>
  </si>
  <si>
    <t xml:space="preserve">INV-2101</t>
  </si>
  <si>
    <t xml:space="preserve">Project consultancy</t>
  </si>
  <si>
    <t xml:space="preserve">INV-1302</t>
  </si>
  <si>
    <t xml:space="preserve">INV-2604</t>
  </si>
  <si>
    <t xml:space="preserve">INV-1404</t>
  </si>
  <si>
    <t xml:space="preserve">INV-2404</t>
  </si>
  <si>
    <t xml:space="preserve">INV-2204</t>
  </si>
  <si>
    <t xml:space="preserve">NorthStar Digital</t>
  </si>
  <si>
    <t xml:space="preserve">INV-2301</t>
  </si>
  <si>
    <t xml:space="preserve">Project delivery</t>
  </si>
  <si>
    <t xml:space="preserve">INV-1004</t>
  </si>
  <si>
    <t xml:space="preserve">INV-1104</t>
  </si>
  <si>
    <t xml:space="preserve">INV-2702</t>
  </si>
  <si>
    <t xml:space="preserve">Innovate UK</t>
  </si>
  <si>
    <t xml:space="preserve">INV-1701</t>
  </si>
  <si>
    <t xml:space="preserve">Small business innovation grant</t>
  </si>
  <si>
    <t xml:space="preserve">g</t>
  </si>
  <si>
    <t xml:space="preserve">4004</t>
  </si>
  <si>
    <t xml:space="preserve">INV-2605</t>
  </si>
  <si>
    <t xml:space="preserve">INV-1405</t>
  </si>
  <si>
    <t xml:space="preserve">INV-2405</t>
  </si>
  <si>
    <t xml:space="preserve">INV-2205</t>
  </si>
  <si>
    <t xml:space="preserve">INV-2002</t>
  </si>
  <si>
    <t xml:space="preserve">INV-1005</t>
  </si>
  <si>
    <t xml:space="preserve">INV-1105</t>
  </si>
  <si>
    <t xml:space="preserve">INV-1203</t>
  </si>
  <si>
    <t xml:space="preserve">INV-2502</t>
  </si>
  <si>
    <t xml:space="preserve">INV-2606</t>
  </si>
  <si>
    <t xml:space="preserve">INV-1406</t>
  </si>
  <si>
    <t xml:space="preserve">INV-2406</t>
  </si>
  <si>
    <t xml:space="preserve">INV-2206</t>
  </si>
  <si>
    <t xml:space="preserve">INV-1006</t>
  </si>
  <si>
    <t xml:space="preserve">INV-2802</t>
  </si>
  <si>
    <t xml:space="preserve">INV-1106</t>
  </si>
  <si>
    <t xml:space="preserve">StartupHub</t>
  </si>
  <si>
    <t xml:space="preserve">INV-1504</t>
  </si>
  <si>
    <t xml:space="preserve">Agile methodology workshop</t>
  </si>
  <si>
    <t xml:space="preserve">INV-2102</t>
  </si>
  <si>
    <t xml:space="preserve">Epsilon Partners</t>
  </si>
  <si>
    <t xml:space="preserve">INV-1601</t>
  </si>
  <si>
    <t xml:space="preserve">Client referral commission</t>
  </si>
  <si>
    <t xml:space="preserve">INV-1303</t>
  </si>
  <si>
    <t xml:space="preserve">INV-2607</t>
  </si>
  <si>
    <t xml:space="preserve">INV-1407</t>
  </si>
  <si>
    <t xml:space="preserve">INV-2407</t>
  </si>
  <si>
    <t xml:space="preserve">Private buyer</t>
  </si>
  <si>
    <t xml:space="preserve">INV-1901</t>
  </si>
  <si>
    <t xml:space="preserve">Disposal of company van</t>
  </si>
  <si>
    <t xml:space="preserve">fs</t>
  </si>
  <si>
    <t xml:space="preserve">4006</t>
  </si>
  <si>
    <t xml:space="preserve">INV-2207</t>
  </si>
  <si>
    <t xml:space="preserve">INV-2302</t>
  </si>
  <si>
    <t xml:space="preserve">INV-1007</t>
  </si>
  <si>
    <t xml:space="preserve">INV-1107</t>
  </si>
  <si>
    <t xml:space="preserve">INV-1204</t>
  </si>
  <si>
    <t xml:space="preserve">INV-2703</t>
  </si>
  <si>
    <t xml:space="preserve">INV-2608</t>
  </si>
  <si>
    <t xml:space="preserve">INV-1408</t>
  </si>
  <si>
    <t xml:space="preserve">INV-2408</t>
  </si>
  <si>
    <t xml:space="preserve">INV-2208</t>
  </si>
  <si>
    <t xml:space="preserve">INV-2003</t>
  </si>
  <si>
    <t xml:space="preserve">INV-1008</t>
  </si>
  <si>
    <t xml:space="preserve">INV-1108</t>
  </si>
  <si>
    <t xml:space="preserve">Delta PLC</t>
  </si>
  <si>
    <t xml:space="preserve">INV-1502</t>
  </si>
  <si>
    <t xml:space="preserve">Cloud architecture workshop</t>
  </si>
  <si>
    <t xml:space="preserve">INV-2503</t>
  </si>
  <si>
    <t xml:space="preserve">INV-2609</t>
  </si>
  <si>
    <t xml:space="preserve">INV-1409</t>
  </si>
  <si>
    <t xml:space="preserve">INV-2409</t>
  </si>
  <si>
    <t xml:space="preserve">INV-2209</t>
  </si>
  <si>
    <t xml:space="preserve">INV-1009</t>
  </si>
  <si>
    <t xml:space="preserve">INV-1109</t>
  </si>
  <si>
    <t xml:space="preserve">INV-1205</t>
  </si>
  <si>
    <t xml:space="preserve">INV-2103</t>
  </si>
  <si>
    <t xml:space="preserve">INV-1304</t>
  </si>
  <si>
    <t xml:space="preserve">INV-2610</t>
  </si>
  <si>
    <t xml:space="preserve">INV-1410</t>
  </si>
  <si>
    <t xml:space="preserve">INV-2410</t>
  </si>
  <si>
    <t xml:space="preserve">INV-2210</t>
  </si>
  <si>
    <t xml:space="preserve">INV-2303</t>
  </si>
  <si>
    <t xml:space="preserve">INV-1010</t>
  </si>
  <si>
    <t xml:space="preserve">INV-2803</t>
  </si>
  <si>
    <t xml:space="preserve">INV-1110</t>
  </si>
  <si>
    <t xml:space="preserve">Lambda Corp</t>
  </si>
  <si>
    <t xml:space="preserve">INV-1602</t>
  </si>
  <si>
    <t xml:space="preserve">INV-2704</t>
  </si>
  <si>
    <t xml:space="preserve">INV-2611</t>
  </si>
  <si>
    <t xml:space="preserve">INV-1411</t>
  </si>
  <si>
    <t xml:space="preserve">INV-2411</t>
  </si>
  <si>
    <t xml:space="preserve">INV-2211</t>
  </si>
  <si>
    <t xml:space="preserve">INV-1011</t>
  </si>
  <si>
    <t xml:space="preserve">INV-1111</t>
  </si>
  <si>
    <t xml:space="preserve">INV-1206</t>
  </si>
  <si>
    <t xml:space="preserve">MegaCorp</t>
  </si>
  <si>
    <t xml:space="preserve">INV-1503</t>
  </si>
  <si>
    <t xml:space="preserve">Security awareness training</t>
  </si>
  <si>
    <t xml:space="preserve">INV-2504</t>
  </si>
  <si>
    <t xml:space="preserve">INV-2612</t>
  </si>
  <si>
    <t xml:space="preserve">INV-1412</t>
  </si>
  <si>
    <t xml:space="preserve">INV-2412</t>
  </si>
  <si>
    <t xml:space="preserve">INV-2212</t>
  </si>
  <si>
    <t xml:space="preserve">INV-1012</t>
  </si>
  <si>
    <t xml:space="preserve">INV-1112</t>
  </si>
  <si>
    <t xml:space="preserve">INV-2104</t>
  </si>
  <si>
    <t xml:space="preserve">Zeta Corp</t>
  </si>
  <si>
    <t xml:space="preserve">CN-1801</t>
  </si>
  <si>
    <t xml:space="preserve">Bad debt written off</t>
  </si>
  <si>
    <t xml:space="preserve">o</t>
  </si>
  <si>
    <t xml:space="preserve">4005</t>
  </si>
  <si>
    <t xml:space="preserve">Closing Debtors Balance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</si>
</sst>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"/>
    <numFmt numFmtId="166" formatCode="#,##0.00_ ;[RED]\-#,##0.00\ "/>
    <numFmt numFmtId="167" formatCode="0"/>
    <numFmt numFmtId="168" formatCode="#,##0"/>
    <numFmt numFmtId="169" formatCode="#,##0_ ;[RED]\-#,##0\ "/>
    <numFmt numFmtId="170" formatCode="#,##0.00"/>
    <numFmt numFmtId="171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>
        <row r="16">
          <cell r="E16">
            <v>10800</v>
          </cell>
        </row>
      </sheetData>
      <sheetData sheetId="1">
        <row r="20">
          <cell r="EJ20">
            <v>7900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15.32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false" hidden="false" outlineLevel="0" max="257" min="15" style="2" width="9.15"/>
  </cols>
  <sheetData>
    <row r="1" s="19" customFormat="true" ht="13.5" hidden="false" customHeight="true" outlineLevel="0" collapsed="false">
      <c r="A1" s="9" t="s">
        <v>0</v>
      </c>
      <c r="B1" s="9"/>
      <c r="C1" s="10" t="n">
        <f aca="false">IF([1]OpenAccounts!$E$16&gt;0,[1]OpenAccounts!$E$16,0)</f>
        <v>10800</v>
      </c>
      <c r="D1" s="11" t="s">
        <v>1</v>
      </c>
      <c r="E1" s="11"/>
      <c r="F1" s="12" t="n">
        <f aca="false">SUM(F5:F300)</f>
        <v>0</v>
      </c>
      <c r="G1" s="12" t="n">
        <f aca="false">SUM(G5:G300)</f>
        <v>0</v>
      </c>
      <c r="H1" s="12" t="n">
        <f aca="false">SUM(H5:H300)</f>
        <v>10800</v>
      </c>
      <c r="I1" s="13"/>
      <c r="J1" s="14" t="s">
        <v>2</v>
      </c>
      <c r="K1" s="15" t="n">
        <f aca="false">SUM(K5:K300)</f>
        <v>0</v>
      </c>
      <c r="L1" s="16" t="n">
        <f aca="false">SUM(L5:L300)</f>
        <v>0</v>
      </c>
      <c r="M1" s="17" t="n">
        <f aca="true">TODAY()</f>
        <v>46278</v>
      </c>
      <c r="N1" s="18"/>
      <c r="O1" s="12" t="n">
        <f aca="false">SUM(O5:O300)</f>
        <v>0</v>
      </c>
      <c r="P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 t="s">
        <v>5</v>
      </c>
      <c r="D2" s="23" t="s">
        <v>6</v>
      </c>
      <c r="E2" s="24"/>
      <c r="F2" s="21" t="s">
        <v>7</v>
      </c>
      <c r="G2" s="25" t="n">
        <f aca="false">Nov!G2</f>
        <v>20</v>
      </c>
      <c r="H2" s="21" t="s">
        <v>8</v>
      </c>
      <c r="I2" s="13"/>
      <c r="J2" s="14"/>
      <c r="K2" s="26" t="s">
        <v>9</v>
      </c>
      <c r="L2" s="26"/>
      <c r="M2" s="26"/>
      <c r="N2" s="18"/>
      <c r="O2" s="21" t="s">
        <v>10</v>
      </c>
      <c r="P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21" t="s">
        <v>15</v>
      </c>
      <c r="P3" s="21" t="s">
        <v>16</v>
      </c>
    </row>
    <row r="4" customFormat="false" ht="12.75" hidden="false" customHeight="true" outlineLevel="0" collapsed="false">
      <c r="A4" s="20"/>
      <c r="B4" s="20"/>
      <c r="C4" s="20"/>
      <c r="D4" s="23"/>
      <c r="E4" s="23"/>
      <c r="F4" s="21"/>
      <c r="G4" s="31" t="n">
        <f aca="false">Nov!G4</f>
        <v>0</v>
      </c>
      <c r="H4" s="21"/>
      <c r="I4" s="13"/>
      <c r="J4" s="14"/>
      <c r="K4" s="27"/>
      <c r="L4" s="28"/>
      <c r="M4" s="28"/>
      <c r="N4" s="18"/>
      <c r="O4" s="21"/>
      <c r="P4" s="21"/>
    </row>
    <row r="5" customFormat="false" ht="12.75" hidden="false" customHeight="true" outlineLevel="0" collapsed="false">
      <c r="B5" s="2" t="s">
        <v>17</v>
      </c>
      <c r="C5" s="3" t="s">
        <v>18</v>
      </c>
      <c r="G5" s="2" t="str">
        <f aca="false">IF(G$4&gt;0,(IF(F5&lt;&gt;0,F5*G$4/100," ")),IF(F5&lt;&gt;0,F5*G$2/(100+G$2)," "))</f>
        <v> </v>
      </c>
      <c r="H5" s="2" t="n">
        <v>7200</v>
      </c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.75" hidden="false" customHeight="true" outlineLevel="0" collapsed="false">
      <c r="B6" s="2" t="s">
        <v>19</v>
      </c>
      <c r="C6" s="3" t="s">
        <v>20</v>
      </c>
      <c r="G6" s="2" t="str">
        <f aca="false">IF(G$4&gt;0,(IF(F6&lt;&gt;0,F6*G$4/100," ")),IF(F6&lt;&gt;0,F6*G$2/(100+G$2)," "))</f>
        <v> </v>
      </c>
      <c r="H6" s="2" t="n">
        <v>1200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B7" s="2" t="s">
        <v>21</v>
      </c>
      <c r="C7" s="3" t="s">
        <v>22</v>
      </c>
      <c r="G7" s="2" t="str">
        <f aca="false">IF(G$4&gt;0,(IF(F7&lt;&gt;0,F7*G$4/100," ")),IF(F7&lt;&gt;0,F7*G$2/(100+G$2)," "))</f>
        <v> </v>
      </c>
      <c r="H7" s="2" t="n">
        <v>2400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G8" s="2" t="str">
        <f aca="false">IF(G$4&gt;0,(IF(F8&lt;&gt;0,F8*G$4/100," ")),IF(F8&lt;&gt;0,F8*G$2/(100+G$2)," "))</f>
        <v> 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G9" s="2" t="str">
        <f aca="false">IF(G$4&gt;0,(IF(F9&lt;&gt;0,F9*G$4/100," ")),IF(F9&lt;&gt;0,F9*G$2/(100+G$2)," "))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G10" s="2" t="str">
        <f aca="false">IF(G$4&gt;0,(IF(F10&lt;&gt;0,F10*G$4/100," ")),IF(F10&lt;&gt;0,F10*G$2/(100+G$2)," "))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G11" s="2" t="str">
        <f aca="false">IF(G$4&gt;0,(IF(F11&lt;&gt;0,F11*G$4/100," ")),IF(F11&lt;&gt;0,F11*G$2/(100+G$2)," "))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G12" s="2" t="str">
        <f aca="false">IF(G$4&gt;0,(IF(F12&lt;&gt;0,F12*G$4/100," ")),IF(F12&lt;&gt;0,F12*G$2/(100+G$2)," "))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</row>
    <row r="201" customFormat="false" ht="12" hidden="false" customHeight="false" outlineLevel="0" collapsed="false"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</row>
    <row r="202" customFormat="false" ht="12" hidden="false" customHeight="false" outlineLevel="0" collapsed="false"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</row>
    <row r="203" customFormat="false" ht="12" hidden="false" customHeight="false" outlineLevel="0" collapsed="false"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</row>
    <row r="204" customFormat="false" ht="12" hidden="false" customHeight="false" outlineLevel="0" collapsed="false"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</row>
    <row r="205" customFormat="false" ht="12" hidden="false" customHeight="false" outlineLevel="0" collapsed="false"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</row>
    <row r="206" customFormat="false" ht="12" hidden="false" customHeight="false" outlineLevel="0" collapsed="false"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</row>
    <row r="207" customFormat="false" ht="12" hidden="false" customHeight="false" outlineLevel="0" collapsed="false"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</row>
    <row r="208" customFormat="false" ht="12" hidden="false" customHeight="false" outlineLevel="0" collapsed="false"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</row>
    <row r="209" customFormat="false" ht="12" hidden="false" customHeight="false" outlineLevel="0" collapsed="false"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</row>
    <row r="210" customFormat="false" ht="12" hidden="false" customHeight="false" outlineLevel="0" collapsed="false"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</row>
    <row r="211" customFormat="false" ht="12" hidden="false" customHeight="false" outlineLevel="0" collapsed="false"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</row>
    <row r="212" customFormat="false" ht="12" hidden="false" customHeight="false" outlineLevel="0" collapsed="false"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</row>
    <row r="213" customFormat="false" ht="12" hidden="false" customHeight="false" outlineLevel="0" collapsed="false"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</row>
    <row r="214" customFormat="false" ht="12" hidden="false" customHeight="false" outlineLevel="0" collapsed="false"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</row>
    <row r="215" customFormat="false" ht="12" hidden="false" customHeight="false" outlineLevel="0" collapsed="false"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</row>
    <row r="216" customFormat="false" ht="12" hidden="false" customHeight="false" outlineLevel="0" collapsed="false"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</row>
    <row r="217" customFormat="false" ht="12" hidden="false" customHeight="false" outlineLevel="0" collapsed="false"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</row>
    <row r="218" customFormat="false" ht="12" hidden="false" customHeight="false" outlineLevel="0" collapsed="false"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</row>
    <row r="219" customFormat="false" ht="12" hidden="false" customHeight="false" outlineLevel="0" collapsed="false"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</row>
    <row r="220" customFormat="false" ht="12" hidden="false" customHeight="false" outlineLevel="0" collapsed="false"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</row>
    <row r="221" customFormat="false" ht="12" hidden="false" customHeight="false" outlineLevel="0" collapsed="false"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</row>
    <row r="222" customFormat="false" ht="12" hidden="false" customHeight="false" outlineLevel="0" collapsed="false"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</row>
    <row r="223" customFormat="false" ht="12" hidden="false" customHeight="false" outlineLevel="0" collapsed="false"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</row>
    <row r="224" customFormat="false" ht="12" hidden="false" customHeight="false" outlineLevel="0" collapsed="false"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</row>
    <row r="225" customFormat="false" ht="12" hidden="false" customHeight="false" outlineLevel="0" collapsed="false"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</row>
    <row r="226" customFormat="false" ht="12" hidden="false" customHeight="false" outlineLevel="0" collapsed="false"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</row>
    <row r="227" customFormat="false" ht="12" hidden="false" customHeight="false" outlineLevel="0" collapsed="false"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</row>
    <row r="228" customFormat="false" ht="12" hidden="false" customHeight="false" outlineLevel="0" collapsed="false"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</row>
    <row r="229" customFormat="false" ht="12" hidden="false" customHeight="false" outlineLevel="0" collapsed="false"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</row>
    <row r="230" customFormat="false" ht="12" hidden="false" customHeight="false" outlineLevel="0" collapsed="false"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</row>
    <row r="231" customFormat="false" ht="12" hidden="false" customHeight="false" outlineLevel="0" collapsed="false"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</row>
    <row r="232" customFormat="false" ht="12" hidden="false" customHeight="false" outlineLevel="0" collapsed="false"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</row>
    <row r="233" customFormat="false" ht="12" hidden="false" customHeight="false" outlineLevel="0" collapsed="false"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</row>
    <row r="234" customFormat="false" ht="12" hidden="false" customHeight="false" outlineLevel="0" collapsed="false"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</row>
    <row r="235" customFormat="false" ht="12" hidden="false" customHeight="false" outlineLevel="0" collapsed="false"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</row>
    <row r="236" customFormat="false" ht="12" hidden="false" customHeight="false" outlineLevel="0" collapsed="false"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</row>
    <row r="237" customFormat="false" ht="12" hidden="false" customHeight="false" outlineLevel="0" collapsed="false"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</row>
    <row r="238" customFormat="false" ht="12" hidden="false" customHeight="false" outlineLevel="0" collapsed="false"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</row>
    <row r="239" customFormat="false" ht="12" hidden="false" customHeight="false" outlineLevel="0" collapsed="false"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</row>
    <row r="240" customFormat="false" ht="12" hidden="false" customHeight="false" outlineLevel="0" collapsed="false"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</row>
    <row r="241" customFormat="false" ht="12" hidden="false" customHeight="false" outlineLevel="0" collapsed="false"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</row>
    <row r="242" customFormat="false" ht="12" hidden="false" customHeight="false" outlineLevel="0" collapsed="false"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</row>
    <row r="243" customFormat="false" ht="12" hidden="false" customHeight="false" outlineLevel="0" collapsed="false"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</row>
    <row r="244" customFormat="false" ht="12" hidden="false" customHeight="false" outlineLevel="0" collapsed="false"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</row>
    <row r="245" customFormat="false" ht="12" hidden="false" customHeight="false" outlineLevel="0" collapsed="false"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</row>
    <row r="246" customFormat="false" ht="12" hidden="false" customHeight="false" outlineLevel="0" collapsed="false"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</row>
    <row r="247" customFormat="false" ht="12" hidden="false" customHeight="false" outlineLevel="0" collapsed="false"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</row>
    <row r="248" customFormat="false" ht="12" hidden="false" customHeight="false" outlineLevel="0" collapsed="false"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</row>
    <row r="249" customFormat="false" ht="12" hidden="false" customHeight="false" outlineLevel="0" collapsed="false"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</row>
    <row r="250" customFormat="false" ht="12" hidden="false" customHeight="false" outlineLevel="0" collapsed="false"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</row>
    <row r="251" customFormat="false" ht="12" hidden="false" customHeight="false" outlineLevel="0" collapsed="false"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</row>
    <row r="252" customFormat="false" ht="12" hidden="false" customHeight="false" outlineLevel="0" collapsed="false"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</row>
    <row r="253" customFormat="false" ht="12" hidden="false" customHeight="false" outlineLevel="0" collapsed="false"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</row>
    <row r="254" customFormat="false" ht="12" hidden="false" customHeight="false" outlineLevel="0" collapsed="false"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</row>
    <row r="255" customFormat="false" ht="12" hidden="false" customHeight="false" outlineLevel="0" collapsed="false"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</row>
    <row r="256" customFormat="false" ht="12" hidden="false" customHeight="false" outlineLevel="0" collapsed="false"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</row>
    <row r="257" customFormat="false" ht="12" hidden="false" customHeight="false" outlineLevel="0" collapsed="false"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</row>
    <row r="258" customFormat="false" ht="12" hidden="false" customHeight="false" outlineLevel="0" collapsed="false"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</row>
    <row r="259" customFormat="false" ht="12" hidden="false" customHeight="false" outlineLevel="0" collapsed="false"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</row>
    <row r="260" customFormat="false" ht="12" hidden="false" customHeight="false" outlineLevel="0" collapsed="false"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</row>
    <row r="261" customFormat="false" ht="12" hidden="false" customHeight="false" outlineLevel="0" collapsed="false"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</row>
    <row r="262" customFormat="false" ht="12" hidden="false" customHeight="false" outlineLevel="0" collapsed="false"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</row>
    <row r="263" customFormat="false" ht="12" hidden="false" customHeight="false" outlineLevel="0" collapsed="false"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</row>
    <row r="264" customFormat="false" ht="12" hidden="false" customHeight="false" outlineLevel="0" collapsed="false"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</row>
    <row r="265" customFormat="false" ht="12" hidden="false" customHeight="false" outlineLevel="0" collapsed="false"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</row>
    <row r="266" customFormat="false" ht="12" hidden="false" customHeight="false" outlineLevel="0" collapsed="false"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</row>
    <row r="267" customFormat="false" ht="12" hidden="false" customHeight="false" outlineLevel="0" collapsed="false"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</row>
    <row r="268" customFormat="false" ht="12" hidden="false" customHeight="false" outlineLevel="0" collapsed="false"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</row>
    <row r="269" customFormat="false" ht="12" hidden="false" customHeight="false" outlineLevel="0" collapsed="false"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</row>
    <row r="270" customFormat="false" ht="12" hidden="false" customHeight="false" outlineLevel="0" collapsed="false"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</row>
    <row r="271" customFormat="false" ht="12" hidden="false" customHeight="false" outlineLevel="0" collapsed="false"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</row>
    <row r="272" customFormat="false" ht="12" hidden="false" customHeight="false" outlineLevel="0" collapsed="false"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</row>
    <row r="273" customFormat="false" ht="12" hidden="false" customHeight="false" outlineLevel="0" collapsed="false"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</row>
    <row r="274" customFormat="false" ht="12" hidden="false" customHeight="false" outlineLevel="0" collapsed="false"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</row>
    <row r="275" customFormat="false" ht="12" hidden="false" customHeight="false" outlineLevel="0" collapsed="false"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</row>
    <row r="276" customFormat="false" ht="12" hidden="false" customHeight="false" outlineLevel="0" collapsed="false"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</row>
    <row r="277" customFormat="false" ht="12" hidden="false" customHeight="false" outlineLevel="0" collapsed="false"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</row>
    <row r="278" customFormat="false" ht="12" hidden="false" customHeight="false" outlineLevel="0" collapsed="false"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</row>
    <row r="279" customFormat="false" ht="12" hidden="false" customHeight="false" outlineLevel="0" collapsed="false"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</row>
    <row r="280" customFormat="false" ht="12" hidden="false" customHeight="false" outlineLevel="0" collapsed="false"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</row>
    <row r="281" customFormat="false" ht="12" hidden="false" customHeight="false" outlineLevel="0" collapsed="false"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</row>
    <row r="282" customFormat="false" ht="12" hidden="false" customHeight="false" outlineLevel="0" collapsed="false"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</row>
    <row r="283" customFormat="false" ht="12" hidden="false" customHeight="false" outlineLevel="0" collapsed="false"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</row>
    <row r="284" customFormat="false" ht="12" hidden="false" customHeight="false" outlineLevel="0" collapsed="false"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</row>
    <row r="285" customFormat="false" ht="12" hidden="false" customHeight="false" outlineLevel="0" collapsed="false"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</row>
    <row r="286" customFormat="false" ht="12" hidden="false" customHeight="false" outlineLevel="0" collapsed="false"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</row>
    <row r="287" customFormat="false" ht="12" hidden="false" customHeight="false" outlineLevel="0" collapsed="false"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</row>
    <row r="288" customFormat="false" ht="12" hidden="false" customHeight="false" outlineLevel="0" collapsed="false"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</row>
    <row r="289" customFormat="false" ht="12" hidden="false" customHeight="false" outlineLevel="0" collapsed="false"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</row>
    <row r="290" customFormat="false" ht="12" hidden="false" customHeight="false" outlineLevel="0" collapsed="false"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</row>
    <row r="291" customFormat="false" ht="12" hidden="false" customHeight="false" outlineLevel="0" collapsed="false"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</row>
    <row r="292" customFormat="false" ht="12" hidden="false" customHeight="false" outlineLevel="0" collapsed="false"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</row>
    <row r="293" customFormat="false" ht="12" hidden="false" customHeight="false" outlineLevel="0" collapsed="false"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</row>
    <row r="294" customFormat="false" ht="12" hidden="false" customHeight="false" outlineLevel="0" collapsed="false"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</row>
    <row r="295" customFormat="false" ht="12" hidden="false" customHeight="false" outlineLevel="0" collapsed="false"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</row>
    <row r="296" customFormat="false" ht="12" hidden="false" customHeight="false" outlineLevel="0" collapsed="false"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</row>
    <row r="297" customFormat="false" ht="12" hidden="false" customHeight="false" outlineLevel="0" collapsed="false"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</row>
    <row r="298" customFormat="false" ht="12" hidden="false" customHeight="false" outlineLevel="0" collapsed="false"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</row>
    <row r="299" customFormat="false" ht="12" hidden="false" customHeight="false" outlineLevel="0" collapsed="false"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</row>
    <row r="300" customFormat="false" ht="12" hidden="false" customHeight="false" outlineLevel="0" collapsed="false">
      <c r="A300" s="32"/>
      <c r="B300" s="33"/>
      <c r="C300" s="34"/>
      <c r="D300" s="35"/>
      <c r="E300" s="35"/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/>
      <c r="P300" s="33"/>
    </row>
  </sheetData>
  <mergeCells count="19">
    <mergeCell ref="A1:B1"/>
    <mergeCell ref="D1:E1"/>
    <mergeCell ref="I1:I4"/>
    <mergeCell ref="J1:J4"/>
    <mergeCell ref="N1:N4"/>
    <mergeCell ref="A2:A4"/>
    <mergeCell ref="B2:B4"/>
    <mergeCell ref="C2:C4"/>
    <mergeCell ref="D2:D4"/>
    <mergeCell ref="E2:E4"/>
    <mergeCell ref="F2:F4"/>
    <mergeCell ref="H2:H4"/>
    <mergeCell ref="K2:M2"/>
    <mergeCell ref="O2:P2"/>
    <mergeCell ref="K3:K4"/>
    <mergeCell ref="L3:L4"/>
    <mergeCell ref="M3:M4"/>
    <mergeCell ref="O3:O4"/>
    <mergeCell ref="P3:P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</dataValidations>
  <printOptions headings="false" gridLines="false" gridLinesSet="true" horizontalCentered="true" verticalCentered="true"/>
  <pageMargins left="0.275694444444444" right="0.275694444444444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33400</v>
      </c>
      <c r="G1" s="12" t="n">
        <f aca="false">SUM(G5:G300)</f>
        <v>5566.66666666667</v>
      </c>
      <c r="H1" s="12" t="n">
        <f aca="false">SUM(H5:H300)</f>
        <v>27833.3333333333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33400</v>
      </c>
      <c r="M1" s="17" t="n">
        <f aca="true">TODAY()</f>
        <v>46278</v>
      </c>
      <c r="N1" s="18"/>
      <c r="O1" s="12" t="n">
        <f aca="false">SUM(O5:O300)</f>
        <v>25333.3333333333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[1]Admin!$M$19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/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46327</v>
      </c>
      <c r="B5" s="2" t="s">
        <v>19</v>
      </c>
      <c r="C5" s="3" t="s">
        <v>42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-49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46329</v>
      </c>
      <c r="B6" s="2" t="s">
        <v>46</v>
      </c>
      <c r="C6" s="3" t="s">
        <v>47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-51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46331</v>
      </c>
      <c r="B7" s="2" t="s">
        <v>49</v>
      </c>
      <c r="C7" s="3" t="s">
        <v>50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-53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46334</v>
      </c>
      <c r="B8" s="2" t="s">
        <v>52</v>
      </c>
      <c r="C8" s="3" t="s">
        <v>53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-56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46336</v>
      </c>
      <c r="B9" s="2" t="s">
        <v>57</v>
      </c>
      <c r="C9" s="3" t="s">
        <v>58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-58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46341</v>
      </c>
      <c r="B10" s="2" t="s">
        <v>17</v>
      </c>
      <c r="C10" s="3" t="s">
        <v>60</v>
      </c>
      <c r="D10" s="40" t="s">
        <v>61</v>
      </c>
      <c r="E10" s="4" t="s">
        <v>55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-63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46344</v>
      </c>
      <c r="B11" s="2" t="s">
        <v>62</v>
      </c>
      <c r="C11" s="3" t="s">
        <v>63</v>
      </c>
      <c r="D11" s="40" t="s">
        <v>64</v>
      </c>
      <c r="E11" s="4" t="s">
        <v>55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-66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46346</v>
      </c>
      <c r="B12" s="2" t="s">
        <v>65</v>
      </c>
      <c r="C12" s="3" t="s">
        <v>66</v>
      </c>
      <c r="D12" s="40" t="s">
        <v>67</v>
      </c>
      <c r="E12" s="4" t="s">
        <v>55</v>
      </c>
      <c r="F12" s="2" t="n">
        <v>1800</v>
      </c>
      <c r="G12" s="2" t="n">
        <f aca="false">IF(G$4&gt;0,(IF(F12&lt;&gt;0,F12*G$4/100," ")),IF(F12&lt;&gt;0,F12*G$2/(100+G$2)," "))</f>
        <v>300</v>
      </c>
      <c r="H12" s="2" t="n">
        <f aca="false">IF((F12&lt;&gt;0),F12-G12," ")</f>
        <v>1500</v>
      </c>
      <c r="L12" s="7" t="n">
        <f aca="false">IF(F12&lt;&gt;0,F12-K12," ")</f>
        <v>1800</v>
      </c>
      <c r="M12" s="8" t="n">
        <f aca="false">IF((F12-K12)&lt;&gt;0,M$1-A12," ")</f>
        <v>-68</v>
      </c>
      <c r="O12" s="2" t="n">
        <f aca="false">IF((E12="a"),H12," ")</f>
        <v>1500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46354</v>
      </c>
      <c r="B13" s="2" t="s">
        <v>68</v>
      </c>
      <c r="C13" s="3" t="s">
        <v>69</v>
      </c>
      <c r="D13" s="40" t="s">
        <v>70</v>
      </c>
      <c r="E13" s="4" t="s">
        <v>71</v>
      </c>
      <c r="F13" s="2" t="n">
        <v>840</v>
      </c>
      <c r="G13" s="2" t="n">
        <f aca="false">IF(G$4&gt;0,(IF(F13&lt;&gt;0,F13*G$4/100," ")),IF(F13&lt;&gt;0,F13*G$2/(100+G$2)," "))</f>
        <v>140</v>
      </c>
      <c r="H13" s="2" t="n">
        <f aca="false">IF((F13&lt;&gt;0),F13-G13," ")</f>
        <v>700</v>
      </c>
      <c r="L13" s="7" t="n">
        <f aca="false">IF(F13&lt;&gt;0,F13-K13," ")</f>
        <v>840</v>
      </c>
      <c r="M13" s="8" t="n">
        <f aca="false">IF((F13-K13)&lt;&gt;0,M$1-A13," ")</f>
        <v>-76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n">
        <f aca="false">IF((E13="d"),H13," ")</f>
        <v>700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72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196527777777778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  <colBreaks count="1" manualBreakCount="1">
    <brk id="21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32920</v>
      </c>
      <c r="G1" s="12" t="n">
        <f aca="false">SUM(G5:G300)</f>
        <v>5486.66666666667</v>
      </c>
      <c r="H1" s="12" t="n">
        <f aca="false">SUM(H5:H300)</f>
        <v>27433.3333333333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32920</v>
      </c>
      <c r="M1" s="17" t="n">
        <f aca="true">TODAY()</f>
        <v>46278</v>
      </c>
      <c r="N1" s="18"/>
      <c r="O1" s="12" t="n">
        <f aca="false">SUM(O5:O300)</f>
        <v>25633.3333333333</v>
      </c>
      <c r="P1" s="12" t="n">
        <f aca="false">SUM(P5:P300)</f>
        <v>800</v>
      </c>
      <c r="Q1" s="12" t="n">
        <f aca="false">SUM(Q5:Q300)</f>
        <v>1000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Nov!G2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Nov!G4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46359</v>
      </c>
      <c r="B5" s="2" t="s">
        <v>46</v>
      </c>
      <c r="C5" s="3" t="s">
        <v>73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-81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46361</v>
      </c>
      <c r="B6" s="2" t="s">
        <v>49</v>
      </c>
      <c r="C6" s="3" t="s">
        <v>74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-83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46364</v>
      </c>
      <c r="B7" s="2" t="s">
        <v>52</v>
      </c>
      <c r="C7" s="3" t="s">
        <v>75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-86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46366</v>
      </c>
      <c r="B8" s="2" t="s">
        <v>57</v>
      </c>
      <c r="C8" s="3" t="s">
        <v>76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-88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46368</v>
      </c>
      <c r="B9" s="2" t="s">
        <v>77</v>
      </c>
      <c r="C9" s="3" t="s">
        <v>78</v>
      </c>
      <c r="D9" s="40" t="s">
        <v>79</v>
      </c>
      <c r="E9" s="4" t="s">
        <v>55</v>
      </c>
      <c r="F9" s="2" t="n">
        <v>960</v>
      </c>
      <c r="G9" s="2" t="n">
        <f aca="false">IF(G$4&gt;0,(IF(F9&lt;&gt;0,F9*G$4/100," ")),IF(F9&lt;&gt;0,F9*G$2/(100+G$2)," "))</f>
        <v>160</v>
      </c>
      <c r="H9" s="2" t="n">
        <f aca="false">IF((F9&lt;&gt;0),F9-G9," ")</f>
        <v>800</v>
      </c>
      <c r="L9" s="7" t="n">
        <f aca="false">IF(F9&lt;&gt;0,F9-K9," ")</f>
        <v>960</v>
      </c>
      <c r="M9" s="8" t="n">
        <f aca="false">IF((F9-K9)&lt;&gt;0,M$1-A9," ")</f>
        <v>-90</v>
      </c>
      <c r="O9" s="2" t="n">
        <f aca="false">IF((E9="a"),H9," ")</f>
        <v>800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46371</v>
      </c>
      <c r="B10" s="2" t="s">
        <v>17</v>
      </c>
      <c r="C10" s="3" t="s">
        <v>80</v>
      </c>
      <c r="D10" s="40" t="s">
        <v>61</v>
      </c>
      <c r="E10" s="4" t="s">
        <v>55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-93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46372</v>
      </c>
      <c r="B11" s="2" t="s">
        <v>81</v>
      </c>
      <c r="C11" s="3" t="s">
        <v>82</v>
      </c>
      <c r="D11" s="40" t="s">
        <v>83</v>
      </c>
      <c r="E11" s="4" t="s">
        <v>84</v>
      </c>
      <c r="F11" s="2" t="n">
        <v>1200</v>
      </c>
      <c r="G11" s="2" t="n">
        <f aca="false">IF(G$4&gt;0,(IF(F11&lt;&gt;0,F11*G$4/100," ")),IF(F11&lt;&gt;0,F11*G$2/(100+G$2)," "))</f>
        <v>200</v>
      </c>
      <c r="H11" s="2" t="n">
        <f aca="false">IF((F11&lt;&gt;0),F11-G11," ")</f>
        <v>1000</v>
      </c>
      <c r="L11" s="7" t="n">
        <f aca="false">IF(F11&lt;&gt;0,F11-K11," ")</f>
        <v>1200</v>
      </c>
      <c r="M11" s="8" t="n">
        <f aca="false">IF((F11-K11)&lt;&gt;0,M$1-A11," ")</f>
        <v>-94</v>
      </c>
      <c r="O11" s="2" t="str">
        <f aca="false">IF((E11="a"),H11," ")</f>
        <v> </v>
      </c>
      <c r="P11" s="2" t="str">
        <f aca="false">IF((E11="b"),H11," ")</f>
        <v> </v>
      </c>
      <c r="Q11" s="2" t="n">
        <f aca="false">IF((E11="c"),H11," ")</f>
        <v>1000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85</v>
      </c>
    </row>
    <row r="12" customFormat="false" ht="12" hidden="false" customHeight="false" outlineLevel="0" collapsed="false">
      <c r="A12" s="1" t="n">
        <v>46374</v>
      </c>
      <c r="B12" s="2" t="s">
        <v>62</v>
      </c>
      <c r="C12" s="3" t="s">
        <v>86</v>
      </c>
      <c r="D12" s="40" t="s">
        <v>64</v>
      </c>
      <c r="E12" s="4" t="s">
        <v>55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-96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46381</v>
      </c>
      <c r="B13" s="2" t="s">
        <v>87</v>
      </c>
      <c r="C13" s="3" t="s">
        <v>88</v>
      </c>
      <c r="D13" s="40" t="s">
        <v>89</v>
      </c>
      <c r="E13" s="4" t="s">
        <v>55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-103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35200</v>
      </c>
      <c r="G1" s="12" t="n">
        <f aca="false">SUM(G5:G300)</f>
        <v>5866.66666666667</v>
      </c>
      <c r="H1" s="12" t="n">
        <f aca="false">SUM(H5:H300)</f>
        <v>29333.3333333333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35200</v>
      </c>
      <c r="M1" s="17" t="n">
        <f aca="true">TODAY()</f>
        <v>46278</v>
      </c>
      <c r="N1" s="18"/>
      <c r="O1" s="12" t="n">
        <f aca="false">SUM(O5:O300)</f>
        <v>26533.3333333333</v>
      </c>
      <c r="P1" s="12" t="n">
        <f aca="false">SUM(P5:P300)</f>
        <v>800</v>
      </c>
      <c r="Q1" s="12" t="n">
        <f aca="false">SUM(Q5:Q300)</f>
        <v>2000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Dec!G2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Dec!G4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46390</v>
      </c>
      <c r="B5" s="2" t="s">
        <v>46</v>
      </c>
      <c r="C5" s="3" t="s">
        <v>90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-112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46392</v>
      </c>
      <c r="B6" s="2" t="s">
        <v>49</v>
      </c>
      <c r="C6" s="3" t="s">
        <v>91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-114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46395</v>
      </c>
      <c r="B7" s="2" t="s">
        <v>52</v>
      </c>
      <c r="C7" s="3" t="s">
        <v>92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-117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46397</v>
      </c>
      <c r="B8" s="2" t="s">
        <v>57</v>
      </c>
      <c r="C8" s="3" t="s">
        <v>93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-119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46402</v>
      </c>
      <c r="B9" s="2" t="s">
        <v>17</v>
      </c>
      <c r="C9" s="3" t="s">
        <v>94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-124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46405</v>
      </c>
      <c r="B10" s="2" t="s">
        <v>62</v>
      </c>
      <c r="C10" s="3" t="s">
        <v>95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-127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46407</v>
      </c>
      <c r="B11" s="2" t="s">
        <v>65</v>
      </c>
      <c r="C11" s="3" t="s">
        <v>96</v>
      </c>
      <c r="D11" s="40" t="s">
        <v>67</v>
      </c>
      <c r="E11" s="4" t="s">
        <v>55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-129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46407</v>
      </c>
      <c r="B12" s="2" t="s">
        <v>21</v>
      </c>
      <c r="C12" s="3" t="s">
        <v>97</v>
      </c>
      <c r="D12" s="40" t="s">
        <v>98</v>
      </c>
      <c r="E12" s="4" t="s">
        <v>84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-129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2000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46409</v>
      </c>
      <c r="B13" s="2" t="s">
        <v>99</v>
      </c>
      <c r="C13" s="3" t="s">
        <v>100</v>
      </c>
      <c r="D13" s="40" t="s">
        <v>101</v>
      </c>
      <c r="E13" s="4" t="s">
        <v>55</v>
      </c>
      <c r="F13" s="2" t="n">
        <v>1440</v>
      </c>
      <c r="G13" s="2" t="n">
        <f aca="false">IF(G$4&gt;0,(IF(F13&lt;&gt;0,F13*G$4/100," ")),IF(F13&lt;&gt;0,F13*G$2/(100+G$2)," "))</f>
        <v>240</v>
      </c>
      <c r="H13" s="2" t="n">
        <f aca="false">IF((F13&lt;&gt;0),F13-G13," ")</f>
        <v>1200</v>
      </c>
      <c r="L13" s="7" t="n">
        <f aca="false">IF(F13&lt;&gt;0,F13-K13," ")</f>
        <v>1440</v>
      </c>
      <c r="M13" s="8" t="n">
        <f aca="false">IF((F13-K13)&lt;&gt;0,M$1-A13," ")</f>
        <v>-131</v>
      </c>
      <c r="O13" s="2" t="n">
        <f aca="false">IF((E13="a"),H13," ")</f>
        <v>1200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33760</v>
      </c>
      <c r="G1" s="12" t="n">
        <f aca="false">SUM(G5:G300)</f>
        <v>5626.66666666667</v>
      </c>
      <c r="H1" s="12" t="n">
        <f aca="false">SUM(H5:H300)</f>
        <v>28133.3333333333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33760</v>
      </c>
      <c r="M1" s="17" t="n">
        <f aca="true">TODAY()</f>
        <v>46278</v>
      </c>
      <c r="N1" s="18"/>
      <c r="O1" s="12" t="n">
        <f aca="false">SUM(O5:O300)</f>
        <v>25633.3333333333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Jan!G2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Jan!G4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46419</v>
      </c>
      <c r="B5" s="2" t="s">
        <v>19</v>
      </c>
      <c r="C5" s="3" t="s">
        <v>102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-141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46421</v>
      </c>
      <c r="B6" s="2" t="s">
        <v>46</v>
      </c>
      <c r="C6" s="3" t="s">
        <v>103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-143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46423</v>
      </c>
      <c r="B7" s="2" t="s">
        <v>49</v>
      </c>
      <c r="C7" s="3" t="s">
        <v>104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-145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46426</v>
      </c>
      <c r="B8" s="2" t="s">
        <v>52</v>
      </c>
      <c r="C8" s="3" t="s">
        <v>105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-148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46428</v>
      </c>
      <c r="B9" s="2" t="s">
        <v>57</v>
      </c>
      <c r="C9" s="3" t="s">
        <v>106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-150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46432</v>
      </c>
      <c r="B10" s="2" t="s">
        <v>107</v>
      </c>
      <c r="C10" s="3" t="s">
        <v>108</v>
      </c>
      <c r="D10" s="40" t="s">
        <v>109</v>
      </c>
      <c r="E10" s="4" t="s">
        <v>55</v>
      </c>
      <c r="F10" s="2" t="n">
        <v>2160</v>
      </c>
      <c r="G10" s="2" t="n">
        <f aca="false">IF(G$4&gt;0,(IF(F10&lt;&gt;0,F10*G$4/100," ")),IF(F10&lt;&gt;0,F10*G$2/(100+G$2)," "))</f>
        <v>360</v>
      </c>
      <c r="H10" s="2" t="n">
        <f aca="false">IF((F10&lt;&gt;0),F10-G10," ")</f>
        <v>1800</v>
      </c>
      <c r="L10" s="7" t="n">
        <f aca="false">IF(F10&lt;&gt;0,F10-K10," ")</f>
        <v>2160</v>
      </c>
      <c r="M10" s="8" t="n">
        <f aca="false">IF((F10-K10)&lt;&gt;0,M$1-A10," ")</f>
        <v>-154</v>
      </c>
      <c r="O10" s="2" t="n">
        <f aca="false">IF((E10="a"),H10," ")</f>
        <v>1800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46433</v>
      </c>
      <c r="B11" s="2" t="s">
        <v>17</v>
      </c>
      <c r="C11" s="3" t="s">
        <v>110</v>
      </c>
      <c r="D11" s="40" t="s">
        <v>61</v>
      </c>
      <c r="E11" s="4" t="s">
        <v>55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-155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46436</v>
      </c>
      <c r="B12" s="2" t="s">
        <v>62</v>
      </c>
      <c r="C12" s="3" t="s">
        <v>111</v>
      </c>
      <c r="D12" s="40" t="s">
        <v>64</v>
      </c>
      <c r="E12" s="4" t="s">
        <v>55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-158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46446</v>
      </c>
      <c r="B13" s="2" t="s">
        <v>68</v>
      </c>
      <c r="C13" s="3" t="s">
        <v>112</v>
      </c>
      <c r="D13" s="40" t="s">
        <v>70</v>
      </c>
      <c r="E13" s="4" t="s">
        <v>71</v>
      </c>
      <c r="F13" s="2" t="n">
        <v>840</v>
      </c>
      <c r="G13" s="2" t="n">
        <f aca="false">IF(G$4&gt;0,(IF(F13&lt;&gt;0,F13*G$4/100," ")),IF(F13&lt;&gt;0,F13*G$2/(100+G$2)," "))</f>
        <v>140</v>
      </c>
      <c r="H13" s="2" t="n">
        <f aca="false">IF((F13&lt;&gt;0),F13-G13," ")</f>
        <v>700</v>
      </c>
      <c r="L13" s="7" t="n">
        <f aca="false">IF(F13&lt;&gt;0,F13-K13," ")</f>
        <v>840</v>
      </c>
      <c r="M13" s="8" t="n">
        <f aca="false">IF((F13-K13)&lt;&gt;0,M$1-A13," ")</f>
        <v>-168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n">
        <f aca="false">IF((E13="d"),H13," ")</f>
        <v>700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72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36020</v>
      </c>
      <c r="G1" s="12" t="n">
        <f aca="false">SUM(G5:G300)</f>
        <v>6003.33333333333</v>
      </c>
      <c r="H1" s="12" t="n">
        <f aca="false">SUM(H5:H300)</f>
        <v>30016.6666666667</v>
      </c>
      <c r="I1" s="13"/>
      <c r="J1" s="14" t="s">
        <v>2</v>
      </c>
      <c r="K1" s="15" t="n">
        <f aca="false">SUM(K5:K300)</f>
        <v>0</v>
      </c>
      <c r="L1" s="16" t="n">
        <f aca="false">SUM(L5:L300)</f>
        <v>36020</v>
      </c>
      <c r="M1" s="17" t="n">
        <f aca="true">TODAY()</f>
        <v>46278</v>
      </c>
      <c r="N1" s="18"/>
      <c r="O1" s="12" t="n">
        <f aca="false">SUM(O5:O300)</f>
        <v>27133.3333333333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2083.33333333333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Feb!G2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Feb!G4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46447</v>
      </c>
      <c r="B5" s="2" t="s">
        <v>113</v>
      </c>
      <c r="C5" s="3" t="s">
        <v>114</v>
      </c>
      <c r="D5" s="40" t="s">
        <v>115</v>
      </c>
      <c r="E5" s="4" t="s">
        <v>116</v>
      </c>
      <c r="F5" s="2" t="n">
        <v>2500</v>
      </c>
      <c r="G5" s="2" t="n">
        <f aca="false">IF(G$4&gt;0,(IF(F5&lt;&gt;0,F5*G$4/100," ")),IF(F5&lt;&gt;0,F5*G$2/(100+G$2)," "))</f>
        <v>416.666666666667</v>
      </c>
      <c r="H5" s="2" t="n">
        <f aca="false">IF((F5&lt;&gt;0),F5-G5," ")</f>
        <v>2083.33333333333</v>
      </c>
      <c r="L5" s="7" t="n">
        <f aca="false">IF(F5&lt;&gt;0,F5-K5," ")</f>
        <v>2500</v>
      </c>
      <c r="M5" s="8" t="n">
        <f aca="false">IF((F5-K5)&lt;&gt;0,M$1-A5," ")</f>
        <v>-169</v>
      </c>
      <c r="O5" s="2" t="str">
        <f aca="false">IF((E5="a"),H5," ")</f>
        <v> </v>
      </c>
      <c r="P5" s="2" t="str">
        <f aca="false">IF((E5="b"),H5," ")</f>
        <v> </v>
      </c>
      <c r="Q5" s="2" t="str">
        <f aca="false">IF((E5="c"),H5," ")</f>
        <v> </v>
      </c>
      <c r="R5" s="2" t="str">
        <f aca="false">IF((E5="d"),H5," ")</f>
        <v> </v>
      </c>
      <c r="S5" s="2" t="n">
        <f aca="false">IF((E5="g"),H5," ")</f>
        <v>2083.33333333333</v>
      </c>
      <c r="T5" s="2" t="str">
        <f aca="false">IF((E5="o"),H5," ")</f>
        <v> </v>
      </c>
      <c r="U5" s="2" t="str">
        <f aca="false">IF((E5="FS"),H5," ")</f>
        <v> </v>
      </c>
      <c r="BZ5" s="2" t="s">
        <v>117</v>
      </c>
    </row>
    <row r="6" customFormat="false" ht="12.75" hidden="false" customHeight="true" outlineLevel="0" collapsed="false">
      <c r="A6" s="1" t="n">
        <v>46449</v>
      </c>
      <c r="B6" s="2" t="s">
        <v>46</v>
      </c>
      <c r="C6" s="3" t="s">
        <v>118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-171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46451</v>
      </c>
      <c r="B7" s="2" t="s">
        <v>49</v>
      </c>
      <c r="C7" s="3" t="s">
        <v>119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-173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46454</v>
      </c>
      <c r="B8" s="2" t="s">
        <v>52</v>
      </c>
      <c r="C8" s="3" t="s">
        <v>120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-176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46456</v>
      </c>
      <c r="B9" s="2" t="s">
        <v>57</v>
      </c>
      <c r="C9" s="3" t="s">
        <v>121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-178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46458</v>
      </c>
      <c r="B10" s="2" t="s">
        <v>77</v>
      </c>
      <c r="C10" s="3" t="s">
        <v>122</v>
      </c>
      <c r="D10" s="40" t="s">
        <v>79</v>
      </c>
      <c r="E10" s="4" t="s">
        <v>55</v>
      </c>
      <c r="F10" s="2" t="n">
        <v>960</v>
      </c>
      <c r="G10" s="2" t="n">
        <f aca="false">IF(G$4&gt;0,(IF(F10&lt;&gt;0,F10*G$4/100," ")),IF(F10&lt;&gt;0,F10*G$2/(100+G$2)," "))</f>
        <v>160</v>
      </c>
      <c r="H10" s="2" t="n">
        <f aca="false">IF((F10&lt;&gt;0),F10-G10," ")</f>
        <v>800</v>
      </c>
      <c r="L10" s="7" t="n">
        <f aca="false">IF(F10&lt;&gt;0,F10-K10," ")</f>
        <v>960</v>
      </c>
      <c r="M10" s="8" t="n">
        <f aca="false">IF((F10-K10)&lt;&gt;0,M$1-A10," ")</f>
        <v>-180</v>
      </c>
      <c r="O10" s="2" t="n">
        <f aca="false">IF((E10="a"),H10," ")</f>
        <v>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46461</v>
      </c>
      <c r="B11" s="2" t="s">
        <v>17</v>
      </c>
      <c r="C11" s="3" t="s">
        <v>123</v>
      </c>
      <c r="D11" s="40" t="s">
        <v>61</v>
      </c>
      <c r="E11" s="4" t="s">
        <v>55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-183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46464</v>
      </c>
      <c r="B12" s="2" t="s">
        <v>62</v>
      </c>
      <c r="C12" s="3" t="s">
        <v>124</v>
      </c>
      <c r="D12" s="40" t="s">
        <v>64</v>
      </c>
      <c r="E12" s="4" t="s">
        <v>55</v>
      </c>
      <c r="F12" s="2" t="n">
        <v>2400</v>
      </c>
      <c r="G12" s="2" t="n">
        <f aca="false">IF(G$4&gt;0,(IF(F12&lt;&gt;0,F12*G$4/100," ")),IF(F12&lt;&gt;0,F12*G$2/(100+G$2)," "))</f>
        <v>400</v>
      </c>
      <c r="H12" s="2" t="n">
        <f aca="false">IF((F12&lt;&gt;0),F12-G12," ")</f>
        <v>2000</v>
      </c>
      <c r="L12" s="7" t="n">
        <f aca="false">IF(F12&lt;&gt;0,F12-K12," ")</f>
        <v>2400</v>
      </c>
      <c r="M12" s="8" t="n">
        <f aca="false">IF((F12-K12)&lt;&gt;0,M$1-A12," ")</f>
        <v>-186</v>
      </c>
      <c r="O12" s="2" t="n">
        <f aca="false">IF((E12="a"),H12," ")</f>
        <v>2000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46466</v>
      </c>
      <c r="B13" s="2" t="s">
        <v>65</v>
      </c>
      <c r="C13" s="3" t="s">
        <v>125</v>
      </c>
      <c r="D13" s="40" t="s">
        <v>67</v>
      </c>
      <c r="E13" s="4" t="s">
        <v>55</v>
      </c>
      <c r="F13" s="2" t="n">
        <v>1800</v>
      </c>
      <c r="G13" s="2" t="n">
        <f aca="false">IF(G$4&gt;0,(IF(F13&lt;&gt;0,F13*G$4/100," ")),IF(F13&lt;&gt;0,F13*G$2/(100+G$2)," "))</f>
        <v>300</v>
      </c>
      <c r="H13" s="2" t="n">
        <f aca="false">IF((F13&lt;&gt;0),F13-G13," ")</f>
        <v>1500</v>
      </c>
      <c r="L13" s="7" t="n">
        <f aca="false">IF(F13&lt;&gt;0,F13-K13," ")</f>
        <v>1800</v>
      </c>
      <c r="M13" s="8" t="n">
        <f aca="false">IF((F13-K13)&lt;&gt;0,M$1-A13," ")</f>
        <v>-188</v>
      </c>
      <c r="O13" s="2" t="n">
        <f aca="false">IF((E13="a"),H13," ")</f>
        <v>1500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46471</v>
      </c>
      <c r="B14" s="2" t="s">
        <v>87</v>
      </c>
      <c r="C14" s="3" t="s">
        <v>126</v>
      </c>
      <c r="D14" s="40" t="s">
        <v>89</v>
      </c>
      <c r="E14" s="4" t="s">
        <v>55</v>
      </c>
      <c r="F14" s="2" t="n">
        <v>1200</v>
      </c>
      <c r="G14" s="2" t="n">
        <f aca="false">IF(G$4&gt;0,(IF(F14&lt;&gt;0,F14*G$4/100," ")),IF(F14&lt;&gt;0,F14*G$2/(100+G$2)," "))</f>
        <v>200</v>
      </c>
      <c r="H14" s="2" t="n">
        <f aca="false">IF((F14&lt;&gt;0),F14-G14," ")</f>
        <v>1000</v>
      </c>
      <c r="L14" s="7" t="n">
        <f aca="false">IF(F14&lt;&gt;0,F14-K14," ")</f>
        <v>1200</v>
      </c>
      <c r="M14" s="8" t="n">
        <f aca="false">IF((F14-K14)&lt;&gt;0,M$1-A14," ")</f>
        <v>-193</v>
      </c>
      <c r="O14" s="2" t="n">
        <f aca="false">IF((E14="a"),H14," ")</f>
        <v>1000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56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33760</v>
      </c>
      <c r="G1" s="12" t="n">
        <f aca="false">SUM(G5:G300)</f>
        <v>5626.66666666667</v>
      </c>
      <c r="H1" s="12" t="n">
        <f aca="false">SUM(H5:H300)</f>
        <v>28133.3333333333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33760</v>
      </c>
      <c r="M1" s="17" t="n">
        <f aca="true">TODAY()</f>
        <v>46278</v>
      </c>
      <c r="N1" s="18"/>
      <c r="O1" s="12" t="n">
        <f aca="false">SUM(O5:O300)</f>
        <v>25033.3333333333</v>
      </c>
      <c r="P1" s="12" t="n">
        <f aca="false">SUM(P5:P300)</f>
        <v>800</v>
      </c>
      <c r="Q1" s="12" t="n">
        <f aca="false">SUM(Q5:Q300)</f>
        <v>1800</v>
      </c>
      <c r="R1" s="12" t="n">
        <f aca="false">SUM(R5:R300)</f>
        <v>500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Mar!G2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Mar!G4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46480</v>
      </c>
      <c r="B5" s="2" t="s">
        <v>46</v>
      </c>
      <c r="C5" s="3" t="s">
        <v>127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-202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46482</v>
      </c>
      <c r="B6" s="2" t="s">
        <v>49</v>
      </c>
      <c r="C6" s="3" t="s">
        <v>128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-204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46485</v>
      </c>
      <c r="B7" s="2" t="s">
        <v>52</v>
      </c>
      <c r="C7" s="3" t="s">
        <v>129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-207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46487</v>
      </c>
      <c r="B8" s="2" t="s">
        <v>57</v>
      </c>
      <c r="C8" s="3" t="s">
        <v>130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-209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46492</v>
      </c>
      <c r="B9" s="2" t="s">
        <v>17</v>
      </c>
      <c r="C9" s="3" t="s">
        <v>131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-214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46493</v>
      </c>
      <c r="B10" s="2" t="s">
        <v>81</v>
      </c>
      <c r="C10" s="3" t="s">
        <v>132</v>
      </c>
      <c r="D10" s="40" t="s">
        <v>83</v>
      </c>
      <c r="E10" s="4" t="s">
        <v>84</v>
      </c>
      <c r="F10" s="2" t="n">
        <v>1200</v>
      </c>
      <c r="G10" s="2" t="n">
        <f aca="false">IF(G$4&gt;0,(IF(F10&lt;&gt;0,F10*G$4/100," ")),IF(F10&lt;&gt;0,F10*G$2/(100+G$2)," "))</f>
        <v>200</v>
      </c>
      <c r="H10" s="2" t="n">
        <f aca="false">IF((F10&lt;&gt;0),F10-G10," ")</f>
        <v>1000</v>
      </c>
      <c r="L10" s="7" t="n">
        <f aca="false">IF(F10&lt;&gt;0,F10-K10," ")</f>
        <v>1200</v>
      </c>
      <c r="M10" s="8" t="n">
        <f aca="false">IF((F10-K10)&lt;&gt;0,M$1-A10," ")</f>
        <v>-215</v>
      </c>
      <c r="O10" s="2" t="str">
        <f aca="false">IF((E10="a"),H10," ")</f>
        <v> </v>
      </c>
      <c r="P10" s="2" t="str">
        <f aca="false">IF((E10="b"),H10," ")</f>
        <v> </v>
      </c>
      <c r="Q10" s="2" t="n">
        <f aca="false">IF((E10="c"),H10," ")</f>
        <v>1000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85</v>
      </c>
    </row>
    <row r="11" customFormat="false" ht="12" hidden="false" customHeight="false" outlineLevel="0" collapsed="false">
      <c r="A11" s="1" t="n">
        <v>46495</v>
      </c>
      <c r="B11" s="2" t="s">
        <v>62</v>
      </c>
      <c r="C11" s="3" t="s">
        <v>133</v>
      </c>
      <c r="D11" s="40" t="s">
        <v>64</v>
      </c>
      <c r="E11" s="4" t="s">
        <v>55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-217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46497</v>
      </c>
      <c r="B12" s="2" t="s">
        <v>134</v>
      </c>
      <c r="C12" s="3" t="s">
        <v>135</v>
      </c>
      <c r="D12" s="40" t="s">
        <v>136</v>
      </c>
      <c r="E12" s="4" t="s">
        <v>84</v>
      </c>
      <c r="F12" s="2" t="n">
        <v>960</v>
      </c>
      <c r="G12" s="2" t="n">
        <f aca="false">IF(G$4&gt;0,(IF(F12&lt;&gt;0,F12*G$4/100," ")),IF(F12&lt;&gt;0,F12*G$2/(100+G$2)," "))</f>
        <v>160</v>
      </c>
      <c r="H12" s="2" t="n">
        <f aca="false">IF((F12&lt;&gt;0),F12-G12," ")</f>
        <v>800</v>
      </c>
      <c r="L12" s="7" t="n">
        <f aca="false">IF(F12&lt;&gt;0,F12-K12," ")</f>
        <v>960</v>
      </c>
      <c r="M12" s="8" t="n">
        <f aca="false">IF((F12-K12)&lt;&gt;0,M$1-A12," ")</f>
        <v>-219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800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46499</v>
      </c>
      <c r="B13" s="2" t="s">
        <v>99</v>
      </c>
      <c r="C13" s="3" t="s">
        <v>137</v>
      </c>
      <c r="D13" s="40" t="s">
        <v>101</v>
      </c>
      <c r="E13" s="4" t="s">
        <v>55</v>
      </c>
      <c r="F13" s="2" t="n">
        <v>1440</v>
      </c>
      <c r="G13" s="2" t="n">
        <f aca="false">IF(G$4&gt;0,(IF(F13&lt;&gt;0,F13*G$4/100," ")),IF(F13&lt;&gt;0,F13*G$2/(100+G$2)," "))</f>
        <v>240</v>
      </c>
      <c r="H13" s="2" t="n">
        <f aca="false">IF((F13&lt;&gt;0),F13-G13," ")</f>
        <v>1200</v>
      </c>
      <c r="L13" s="7" t="n">
        <f aca="false">IF(F13&lt;&gt;0,F13-K13," ")</f>
        <v>1440</v>
      </c>
      <c r="M13" s="8" t="n">
        <f aca="false">IF((F13-K13)&lt;&gt;0,M$1-A13," ")</f>
        <v>-221</v>
      </c>
      <c r="O13" s="2" t="n">
        <f aca="false">IF((E13="a"),H13," ")</f>
        <v>1200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46502</v>
      </c>
      <c r="B14" s="2" t="s">
        <v>138</v>
      </c>
      <c r="C14" s="3" t="s">
        <v>139</v>
      </c>
      <c r="D14" s="40" t="s">
        <v>140</v>
      </c>
      <c r="E14" s="4" t="s">
        <v>71</v>
      </c>
      <c r="F14" s="2" t="n">
        <v>600</v>
      </c>
      <c r="G14" s="2" t="n">
        <f aca="false">IF(G$4&gt;0,(IF(F14&lt;&gt;0,F14*G$4/100," ")),IF(F14&lt;&gt;0,F14*G$2/(100+G$2)," "))</f>
        <v>100</v>
      </c>
      <c r="H14" s="2" t="n">
        <f aca="false">IF((F14&lt;&gt;0),F14-G14," ")</f>
        <v>500</v>
      </c>
      <c r="L14" s="7" t="n">
        <f aca="false">IF(F14&lt;&gt;0,F14-K14," ")</f>
        <v>600</v>
      </c>
      <c r="M14" s="8" t="n">
        <f aca="false">IF((F14-K14)&lt;&gt;0,M$1-A14," ")</f>
        <v>-224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n">
        <f aca="false">IF((E14="d"),H14," ")</f>
        <v>500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72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50560</v>
      </c>
      <c r="G1" s="12" t="n">
        <f aca="false">SUM(G5:G300)</f>
        <v>8426.66666666667</v>
      </c>
      <c r="H1" s="12" t="n">
        <f aca="false">SUM(H5:H300)</f>
        <v>42133.3333333333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50560</v>
      </c>
      <c r="M1" s="17" t="n">
        <f aca="true">TODAY()</f>
        <v>46278</v>
      </c>
      <c r="N1" s="18"/>
      <c r="O1" s="12" t="n">
        <f aca="false">SUM(O5:O300)</f>
        <v>27133.3333333333</v>
      </c>
      <c r="P1" s="12" t="n">
        <f aca="false">SUM(P5:P300)</f>
        <v>1800</v>
      </c>
      <c r="Q1" s="12" t="n">
        <f aca="false">SUM(Q5:Q300)</f>
        <v>0</v>
      </c>
      <c r="R1" s="12" t="n">
        <f aca="false">SUM(R5:R300)</f>
        <v>700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12500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Apr!G2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Apr!G4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46508</v>
      </c>
      <c r="B5" s="2" t="s">
        <v>19</v>
      </c>
      <c r="C5" s="3" t="s">
        <v>141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-230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46510</v>
      </c>
      <c r="B6" s="2" t="s">
        <v>46</v>
      </c>
      <c r="C6" s="3" t="s">
        <v>142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-232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46512</v>
      </c>
      <c r="B7" s="2" t="s">
        <v>49</v>
      </c>
      <c r="C7" s="3" t="s">
        <v>143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-234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46515</v>
      </c>
      <c r="B8" s="2" t="s">
        <v>52</v>
      </c>
      <c r="C8" s="3" t="s">
        <v>144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-237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46517</v>
      </c>
      <c r="B9" s="2" t="s">
        <v>145</v>
      </c>
      <c r="C9" s="3" t="s">
        <v>146</v>
      </c>
      <c r="D9" s="40" t="s">
        <v>147</v>
      </c>
      <c r="E9" s="4" t="s">
        <v>148</v>
      </c>
      <c r="F9" s="2" t="n">
        <v>15000</v>
      </c>
      <c r="G9" s="2" t="n">
        <f aca="false">IF(G$4&gt;0,(IF(F9&lt;&gt;0,F9*G$4/100," ")),IF(F9&lt;&gt;0,F9*G$2/(100+G$2)," "))</f>
        <v>2500</v>
      </c>
      <c r="H9" s="2" t="n">
        <f aca="false">IF((F9&lt;&gt;0),F9-G9," ")</f>
        <v>12500</v>
      </c>
      <c r="L9" s="7" t="n">
        <f aca="false">IF(F9&lt;&gt;0,F9-K9," ")</f>
        <v>15000</v>
      </c>
      <c r="M9" s="8" t="n">
        <f aca="false">IF((F9-K9)&lt;&gt;0,M$1-A9," ")</f>
        <v>-239</v>
      </c>
      <c r="O9" s="2" t="str">
        <f aca="false">IF((E9="a"),H9," ")</f>
        <v> 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n">
        <f aca="false">IF((E9="FS"),H9," ")</f>
        <v>12500</v>
      </c>
      <c r="BZ9" s="2" t="s">
        <v>149</v>
      </c>
    </row>
    <row r="10" customFormat="false" ht="12" hidden="false" customHeight="false" outlineLevel="0" collapsed="false">
      <c r="A10" s="1" t="n">
        <v>46517</v>
      </c>
      <c r="B10" s="2" t="s">
        <v>57</v>
      </c>
      <c r="C10" s="3" t="s">
        <v>150</v>
      </c>
      <c r="D10" s="40" t="s">
        <v>59</v>
      </c>
      <c r="E10" s="4" t="s">
        <v>55</v>
      </c>
      <c r="F10" s="2" t="n">
        <v>720</v>
      </c>
      <c r="G10" s="2" t="n">
        <f aca="false">IF(G$4&gt;0,(IF(F10&lt;&gt;0,F10*G$4/100," ")),IF(F10&lt;&gt;0,F10*G$2/(100+G$2)," "))</f>
        <v>120</v>
      </c>
      <c r="H10" s="2" t="n">
        <f aca="false">IF((F10&lt;&gt;0),F10-G10," ")</f>
        <v>600</v>
      </c>
      <c r="L10" s="7" t="n">
        <f aca="false">IF(F10&lt;&gt;0,F10-K10," ")</f>
        <v>720</v>
      </c>
      <c r="M10" s="8" t="n">
        <f aca="false">IF((F10-K10)&lt;&gt;0,M$1-A10," ")</f>
        <v>-239</v>
      </c>
      <c r="O10" s="2" t="n">
        <f aca="false">IF((E10="a"),H10," ")</f>
        <v>600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46521</v>
      </c>
      <c r="B11" s="2" t="s">
        <v>107</v>
      </c>
      <c r="C11" s="3" t="s">
        <v>151</v>
      </c>
      <c r="D11" s="40" t="s">
        <v>109</v>
      </c>
      <c r="E11" s="4" t="s">
        <v>55</v>
      </c>
      <c r="F11" s="2" t="n">
        <v>2160</v>
      </c>
      <c r="G11" s="2" t="n">
        <f aca="false">IF(G$4&gt;0,(IF(F11&lt;&gt;0,F11*G$4/100," ")),IF(F11&lt;&gt;0,F11*G$2/(100+G$2)," "))</f>
        <v>360</v>
      </c>
      <c r="H11" s="2" t="n">
        <f aca="false">IF((F11&lt;&gt;0),F11-G11," ")</f>
        <v>1800</v>
      </c>
      <c r="L11" s="7" t="n">
        <f aca="false">IF(F11&lt;&gt;0,F11-K11," ")</f>
        <v>2160</v>
      </c>
      <c r="M11" s="8" t="n">
        <f aca="false">IF((F11-K11)&lt;&gt;0,M$1-A11," ")</f>
        <v>-243</v>
      </c>
      <c r="O11" s="2" t="n">
        <f aca="false">IF((E11="a"),H11," ")</f>
        <v>1800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46522</v>
      </c>
      <c r="B12" s="2" t="s">
        <v>17</v>
      </c>
      <c r="C12" s="3" t="s">
        <v>152</v>
      </c>
      <c r="D12" s="40" t="s">
        <v>61</v>
      </c>
      <c r="E12" s="4" t="s">
        <v>55</v>
      </c>
      <c r="F12" s="2" t="n">
        <v>25000</v>
      </c>
      <c r="G12" s="2" t="n">
        <f aca="false">IF(G$4&gt;0,(IF(F12&lt;&gt;0,F12*G$4/100," ")),IF(F12&lt;&gt;0,F12*G$2/(100+G$2)," "))</f>
        <v>4166.66666666667</v>
      </c>
      <c r="H12" s="2" t="n">
        <f aca="false">IF((F12&lt;&gt;0),F12-G12," ")</f>
        <v>20833.3333333333</v>
      </c>
      <c r="L12" s="7" t="n">
        <f aca="false">IF(F12&lt;&gt;0,F12-K12," ")</f>
        <v>25000</v>
      </c>
      <c r="M12" s="8" t="n">
        <f aca="false">IF((F12-K12)&lt;&gt;0,M$1-A12," ")</f>
        <v>-244</v>
      </c>
      <c r="O12" s="2" t="n">
        <f aca="false">IF((E12="a"),H12," ")</f>
        <v>20833.3333333333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A13" s="1" t="n">
        <v>46525</v>
      </c>
      <c r="B13" s="2" t="s">
        <v>62</v>
      </c>
      <c r="C13" s="3" t="s">
        <v>153</v>
      </c>
      <c r="D13" s="40" t="s">
        <v>64</v>
      </c>
      <c r="E13" s="4" t="s">
        <v>55</v>
      </c>
      <c r="F13" s="2" t="n">
        <v>2400</v>
      </c>
      <c r="G13" s="2" t="n">
        <f aca="false">IF(G$4&gt;0,(IF(F13&lt;&gt;0,F13*G$4/100," ")),IF(F13&lt;&gt;0,F13*G$2/(100+G$2)," "))</f>
        <v>400</v>
      </c>
      <c r="H13" s="2" t="n">
        <f aca="false">IF((F13&lt;&gt;0),F13-G13," ")</f>
        <v>2000</v>
      </c>
      <c r="L13" s="7" t="n">
        <f aca="false">IF(F13&lt;&gt;0,F13-K13," ")</f>
        <v>2400</v>
      </c>
      <c r="M13" s="8" t="n">
        <f aca="false">IF((F13-K13)&lt;&gt;0,M$1-A13," ")</f>
        <v>-247</v>
      </c>
      <c r="O13" s="2" t="n">
        <f aca="false">IF((E13="a"),H13," ")</f>
        <v>2000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46527</v>
      </c>
      <c r="B14" s="2" t="s">
        <v>65</v>
      </c>
      <c r="C14" s="3" t="s">
        <v>154</v>
      </c>
      <c r="D14" s="40" t="s">
        <v>67</v>
      </c>
      <c r="E14" s="4" t="s">
        <v>55</v>
      </c>
      <c r="F14" s="2" t="n">
        <v>1800</v>
      </c>
      <c r="G14" s="2" t="n">
        <f aca="false">IF(G$4&gt;0,(IF(F14&lt;&gt;0,F14*G$4/100," ")),IF(F14&lt;&gt;0,F14*G$2/(100+G$2)," "))</f>
        <v>300</v>
      </c>
      <c r="H14" s="2" t="n">
        <f aca="false">IF((F14&lt;&gt;0),F14-G14," ")</f>
        <v>1500</v>
      </c>
      <c r="L14" s="7" t="n">
        <f aca="false">IF(F14&lt;&gt;0,F14-K14," ")</f>
        <v>1800</v>
      </c>
      <c r="M14" s="8" t="n">
        <f aca="false">IF((F14-K14)&lt;&gt;0,M$1-A14," ")</f>
        <v>-249</v>
      </c>
      <c r="O14" s="2" t="n">
        <f aca="false">IF((E14="a"),H14," ")</f>
        <v>1500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56</v>
      </c>
    </row>
    <row r="15" customFormat="false" ht="12" hidden="false" customHeight="false" outlineLevel="0" collapsed="false">
      <c r="A15" s="1" t="n">
        <v>46535</v>
      </c>
      <c r="B15" s="2" t="s">
        <v>68</v>
      </c>
      <c r="C15" s="3" t="s">
        <v>155</v>
      </c>
      <c r="D15" s="40" t="s">
        <v>70</v>
      </c>
      <c r="E15" s="4" t="s">
        <v>71</v>
      </c>
      <c r="F15" s="2" t="n">
        <v>840</v>
      </c>
      <c r="G15" s="2" t="n">
        <f aca="false">IF(G$4&gt;0,(IF(F15&lt;&gt;0,F15*G$4/100," ")),IF(F15&lt;&gt;0,F15*G$2/(100+G$2)," "))</f>
        <v>140</v>
      </c>
      <c r="H15" s="2" t="n">
        <f aca="false">IF((F15&lt;&gt;0),F15-G15," ")</f>
        <v>700</v>
      </c>
      <c r="L15" s="7" t="n">
        <f aca="false">IF(F15&lt;&gt;0,F15-K15," ")</f>
        <v>840</v>
      </c>
      <c r="M15" s="8" t="n">
        <f aca="false">IF((F15-K15)&lt;&gt;0,M$1-A15," ")</f>
        <v>-257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n">
        <f aca="false">IF((E15="d"),H15," ")</f>
        <v>700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  <c r="BZ15" s="2" t="s">
        <v>72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35320</v>
      </c>
      <c r="G1" s="12" t="n">
        <f aca="false">SUM(G5:G300)</f>
        <v>5886.66666666667</v>
      </c>
      <c r="H1" s="12" t="n">
        <f aca="false">SUM(H5:H300)</f>
        <v>29433.3333333333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35320</v>
      </c>
      <c r="M1" s="17" t="n">
        <f aca="true">TODAY()</f>
        <v>46278</v>
      </c>
      <c r="N1" s="18"/>
      <c r="O1" s="12" t="n">
        <f aca="false">SUM(O5:O300)</f>
        <v>25633.3333333333</v>
      </c>
      <c r="P1" s="12" t="n">
        <f aca="false">SUM(P5:P300)</f>
        <v>800</v>
      </c>
      <c r="Q1" s="12" t="n">
        <f aca="false">SUM(Q5:Q300)</f>
        <v>3000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May!G2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May!G4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46541</v>
      </c>
      <c r="B5" s="2" t="s">
        <v>46</v>
      </c>
      <c r="C5" s="3" t="s">
        <v>156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-263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46543</v>
      </c>
      <c r="B6" s="2" t="s">
        <v>49</v>
      </c>
      <c r="C6" s="3" t="s">
        <v>157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-265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46546</v>
      </c>
      <c r="B7" s="2" t="s">
        <v>52</v>
      </c>
      <c r="C7" s="3" t="s">
        <v>158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-268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46548</v>
      </c>
      <c r="B8" s="2" t="s">
        <v>57</v>
      </c>
      <c r="C8" s="3" t="s">
        <v>159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-270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46550</v>
      </c>
      <c r="B9" s="2" t="s">
        <v>77</v>
      </c>
      <c r="C9" s="3" t="s">
        <v>160</v>
      </c>
      <c r="D9" s="40" t="s">
        <v>79</v>
      </c>
      <c r="E9" s="4" t="s">
        <v>55</v>
      </c>
      <c r="F9" s="2" t="n">
        <v>960</v>
      </c>
      <c r="G9" s="2" t="n">
        <f aca="false">IF(G$4&gt;0,(IF(F9&lt;&gt;0,F9*G$4/100," ")),IF(F9&lt;&gt;0,F9*G$2/(100+G$2)," "))</f>
        <v>160</v>
      </c>
      <c r="H9" s="2" t="n">
        <f aca="false">IF((F9&lt;&gt;0),F9-G9," ")</f>
        <v>800</v>
      </c>
      <c r="L9" s="7" t="n">
        <f aca="false">IF(F9&lt;&gt;0,F9-K9," ")</f>
        <v>960</v>
      </c>
      <c r="M9" s="8" t="n">
        <f aca="false">IF((F9-K9)&lt;&gt;0,M$1-A9," ")</f>
        <v>-272</v>
      </c>
      <c r="O9" s="2" t="n">
        <f aca="false">IF((E9="a"),H9," ")</f>
        <v>800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46553</v>
      </c>
      <c r="B10" s="2" t="s">
        <v>17</v>
      </c>
      <c r="C10" s="3" t="s">
        <v>161</v>
      </c>
      <c r="D10" s="40" t="s">
        <v>61</v>
      </c>
      <c r="E10" s="4" t="s">
        <v>55</v>
      </c>
      <c r="F10" s="2" t="n">
        <v>25000</v>
      </c>
      <c r="G10" s="2" t="n">
        <f aca="false">IF(G$4&gt;0,(IF(F10&lt;&gt;0,F10*G$4/100," ")),IF(F10&lt;&gt;0,F10*G$2/(100+G$2)," "))</f>
        <v>4166.66666666667</v>
      </c>
      <c r="H10" s="2" t="n">
        <f aca="false">IF((F10&lt;&gt;0),F10-G10," ")</f>
        <v>20833.3333333333</v>
      </c>
      <c r="L10" s="7" t="n">
        <f aca="false">IF(F10&lt;&gt;0,F10-K10," ")</f>
        <v>25000</v>
      </c>
      <c r="M10" s="8" t="n">
        <f aca="false">IF((F10-K10)&lt;&gt;0,M$1-A10," ")</f>
        <v>-275</v>
      </c>
      <c r="O10" s="2" t="n">
        <f aca="false">IF((E10="a"),H10," ")</f>
        <v>20833.3333333333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46556</v>
      </c>
      <c r="B11" s="2" t="s">
        <v>62</v>
      </c>
      <c r="C11" s="3" t="s">
        <v>162</v>
      </c>
      <c r="D11" s="40" t="s">
        <v>64</v>
      </c>
      <c r="E11" s="4" t="s">
        <v>55</v>
      </c>
      <c r="F11" s="2" t="n">
        <v>2400</v>
      </c>
      <c r="G11" s="2" t="n">
        <f aca="false">IF(G$4&gt;0,(IF(F11&lt;&gt;0,F11*G$4/100," ")),IF(F11&lt;&gt;0,F11*G$2/(100+G$2)," "))</f>
        <v>400</v>
      </c>
      <c r="H11" s="2" t="n">
        <f aca="false">IF((F11&lt;&gt;0),F11-G11," ")</f>
        <v>2000</v>
      </c>
      <c r="L11" s="7" t="n">
        <f aca="false">IF(F11&lt;&gt;0,F11-K11," ")</f>
        <v>2400</v>
      </c>
      <c r="M11" s="8" t="n">
        <f aca="false">IF((F11-K11)&lt;&gt;0,M$1-A11," ")</f>
        <v>-278</v>
      </c>
      <c r="O11" s="2" t="n">
        <f aca="false">IF((E11="a"),H11," ")</f>
        <v>2000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46558</v>
      </c>
      <c r="B12" s="2" t="s">
        <v>163</v>
      </c>
      <c r="C12" s="3" t="s">
        <v>164</v>
      </c>
      <c r="D12" s="40" t="s">
        <v>165</v>
      </c>
      <c r="E12" s="4" t="s">
        <v>84</v>
      </c>
      <c r="F12" s="2" t="n">
        <v>3600</v>
      </c>
      <c r="G12" s="2" t="n">
        <f aca="false">IF(G$4&gt;0,(IF(F12&lt;&gt;0,F12*G$4/100," ")),IF(F12&lt;&gt;0,F12*G$2/(100+G$2)," "))</f>
        <v>600</v>
      </c>
      <c r="H12" s="2" t="n">
        <f aca="false">IF((F12&lt;&gt;0),F12-G12," ")</f>
        <v>3000</v>
      </c>
      <c r="L12" s="7" t="n">
        <f aca="false">IF(F12&lt;&gt;0,F12-K12," ")</f>
        <v>3600</v>
      </c>
      <c r="M12" s="8" t="n">
        <f aca="false">IF((F12-K12)&lt;&gt;0,M$1-A12," ")</f>
        <v>-280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3000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46563</v>
      </c>
      <c r="B13" s="2" t="s">
        <v>87</v>
      </c>
      <c r="C13" s="3" t="s">
        <v>166</v>
      </c>
      <c r="D13" s="40" t="s">
        <v>89</v>
      </c>
      <c r="E13" s="4" t="s">
        <v>55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-285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32800</v>
      </c>
      <c r="G1" s="12" t="n">
        <f aca="false">SUM(G5:G300)</f>
        <v>5466.66666666667</v>
      </c>
      <c r="H1" s="12" t="n">
        <f aca="false">SUM(H5:H300)</f>
        <v>27333.3333333333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32800</v>
      </c>
      <c r="M1" s="17" t="n">
        <f aca="true">TODAY()</f>
        <v>46278</v>
      </c>
      <c r="N1" s="18"/>
      <c r="O1" s="12" t="n">
        <f aca="false">SUM(O5:O300)</f>
        <v>26533.3333333333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Jun!G2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Jun!G4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46571</v>
      </c>
      <c r="B5" s="2" t="s">
        <v>46</v>
      </c>
      <c r="C5" s="3" t="s">
        <v>167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-293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46573</v>
      </c>
      <c r="B6" s="2" t="s">
        <v>49</v>
      </c>
      <c r="C6" s="3" t="s">
        <v>168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-295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46576</v>
      </c>
      <c r="B7" s="2" t="s">
        <v>52</v>
      </c>
      <c r="C7" s="3" t="s">
        <v>169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-298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46578</v>
      </c>
      <c r="B8" s="2" t="s">
        <v>57</v>
      </c>
      <c r="C8" s="3" t="s">
        <v>170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-300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46583</v>
      </c>
      <c r="B9" s="2" t="s">
        <v>17</v>
      </c>
      <c r="C9" s="3" t="s">
        <v>171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-305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46586</v>
      </c>
      <c r="B10" s="2" t="s">
        <v>62</v>
      </c>
      <c r="C10" s="3" t="s">
        <v>172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-308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46588</v>
      </c>
      <c r="B11" s="2" t="s">
        <v>65</v>
      </c>
      <c r="C11" s="3" t="s">
        <v>173</v>
      </c>
      <c r="D11" s="40" t="s">
        <v>67</v>
      </c>
      <c r="E11" s="4" t="s">
        <v>55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-310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46590</v>
      </c>
      <c r="B12" s="2" t="s">
        <v>99</v>
      </c>
      <c r="C12" s="3" t="s">
        <v>174</v>
      </c>
      <c r="D12" s="40" t="s">
        <v>101</v>
      </c>
      <c r="E12" s="4" t="s">
        <v>55</v>
      </c>
      <c r="F12" s="2" t="n">
        <v>1440</v>
      </c>
      <c r="G12" s="2" t="n">
        <f aca="false">IF(G$4&gt;0,(IF(F12&lt;&gt;0,F12*G$4/100," ")),IF(F12&lt;&gt;0,F12*G$2/(100+G$2)," "))</f>
        <v>240</v>
      </c>
      <c r="H12" s="2" t="n">
        <f aca="false">IF((F12&lt;&gt;0),F12-G12," ")</f>
        <v>1200</v>
      </c>
      <c r="L12" s="7" t="n">
        <f aca="false">IF(F12&lt;&gt;0,F12-K12," ")</f>
        <v>1440</v>
      </c>
      <c r="M12" s="8" t="n">
        <f aca="false">IF((F12-K12)&lt;&gt;0,M$1-A12," ")</f>
        <v>-312</v>
      </c>
      <c r="O12" s="2" t="n">
        <f aca="false">IF((E12="a"),H12," ")</f>
        <v>1200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56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H13" s="2" t="str">
        <f aca="false">IF((F13&lt;&gt;0),F13-G13,"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35440</v>
      </c>
      <c r="G1" s="12" t="n">
        <f aca="false">SUM(G5:G300)</f>
        <v>5906.66666666667</v>
      </c>
      <c r="H1" s="12" t="n">
        <f aca="false">SUM(H5:H300)</f>
        <v>29533.3333333333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35440</v>
      </c>
      <c r="M1" s="17" t="n">
        <f aca="true">TODAY()</f>
        <v>46278</v>
      </c>
      <c r="N1" s="18"/>
      <c r="O1" s="12" t="n">
        <f aca="false">SUM(O5:O300)</f>
        <v>25633.3333333333</v>
      </c>
      <c r="P1" s="12" t="n">
        <f aca="false">SUM(P5:P300)</f>
        <v>1800</v>
      </c>
      <c r="Q1" s="12" t="n">
        <f aca="false">SUM(Q5:Q300)</f>
        <v>1000</v>
      </c>
      <c r="R1" s="12" t="n">
        <f aca="false">SUM(R5:R300)</f>
        <v>1100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Jul!G2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Jul!G4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46600</v>
      </c>
      <c r="B5" s="2" t="s">
        <v>19</v>
      </c>
      <c r="C5" s="3" t="s">
        <v>175</v>
      </c>
      <c r="D5" s="40" t="s">
        <v>43</v>
      </c>
      <c r="E5" s="4" t="s">
        <v>44</v>
      </c>
      <c r="F5" s="2" t="n">
        <v>1200</v>
      </c>
      <c r="G5" s="2" t="n">
        <f aca="false">IF(G$4&gt;0,(IF(F5&lt;&gt;0,F5*G$4/100," ")),IF(F5&lt;&gt;0,F5*G$2/(100+G$2)," "))</f>
        <v>200</v>
      </c>
      <c r="H5" s="2" t="n">
        <f aca="false">IF((F5&lt;&gt;0),F5-G5," ")</f>
        <v>1000</v>
      </c>
      <c r="L5" s="7" t="n">
        <f aca="false">IF(F5&lt;&gt;0,F5-K5," ")</f>
        <v>1200</v>
      </c>
      <c r="M5" s="8" t="n">
        <f aca="false">IF((F5-K5)&lt;&gt;0,M$1-A5," ")</f>
        <v>-322</v>
      </c>
      <c r="O5" s="2" t="str">
        <f aca="false">IF((E5="a"),H5," ")</f>
        <v> </v>
      </c>
      <c r="P5" s="2" t="n">
        <f aca="false">IF((E5="b"),H5," ")</f>
        <v>1000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46602</v>
      </c>
      <c r="B6" s="2" t="s">
        <v>46</v>
      </c>
      <c r="C6" s="3" t="s">
        <v>176</v>
      </c>
      <c r="D6" s="40" t="s">
        <v>48</v>
      </c>
      <c r="E6" s="4" t="s">
        <v>44</v>
      </c>
      <c r="F6" s="2" t="n">
        <v>360</v>
      </c>
      <c r="G6" s="2" t="n">
        <f aca="false">IF(G$4&gt;0,(IF(F6&lt;&gt;0,F6*G$4/100," ")),IF(F6&lt;&gt;0,F6*G$2/(100+G$2)," "))</f>
        <v>60</v>
      </c>
      <c r="H6" s="2" t="n">
        <f aca="false">IF((F6&lt;&gt;0),F6-G6," ")</f>
        <v>300</v>
      </c>
      <c r="L6" s="7" t="n">
        <f aca="false">IF(F6&lt;&gt;0,F6-K6," ")</f>
        <v>360</v>
      </c>
      <c r="M6" s="8" t="n">
        <f aca="false">IF((F6-K6)&lt;&gt;0,M$1-A6," ")</f>
        <v>-324</v>
      </c>
      <c r="O6" s="2" t="str">
        <f aca="false">IF((E6="a"),H6," ")</f>
        <v> </v>
      </c>
      <c r="P6" s="2" t="n">
        <f aca="false">IF((E6="b"),H6," ")</f>
        <v>300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46604</v>
      </c>
      <c r="B7" s="2" t="s">
        <v>49</v>
      </c>
      <c r="C7" s="3" t="s">
        <v>177</v>
      </c>
      <c r="D7" s="40" t="s">
        <v>51</v>
      </c>
      <c r="E7" s="4" t="s">
        <v>44</v>
      </c>
      <c r="F7" s="2" t="n">
        <v>600</v>
      </c>
      <c r="G7" s="2" t="n">
        <f aca="false">IF(G$4&gt;0,(IF(F7&lt;&gt;0,F7*G$4/100," ")),IF(F7&lt;&gt;0,F7*G$2/(100+G$2)," "))</f>
        <v>100</v>
      </c>
      <c r="H7" s="2" t="n">
        <f aca="false">IF((F7&lt;&gt;0),F7-G7," ")</f>
        <v>500</v>
      </c>
      <c r="L7" s="7" t="n">
        <f aca="false">IF(F7&lt;&gt;0,F7-K7," ")</f>
        <v>600</v>
      </c>
      <c r="M7" s="8" t="n">
        <f aca="false">IF((F7-K7)&lt;&gt;0,M$1-A7," ")</f>
        <v>-326</v>
      </c>
      <c r="O7" s="2" t="str">
        <f aca="false">IF((E7="a"),H7," ")</f>
        <v> </v>
      </c>
      <c r="P7" s="2" t="n">
        <f aca="false">IF((E7="b"),H7," ")</f>
        <v>500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45</v>
      </c>
    </row>
    <row r="8" customFormat="false" ht="12" hidden="false" customHeight="false" outlineLevel="0" collapsed="false">
      <c r="A8" s="1" t="n">
        <v>46607</v>
      </c>
      <c r="B8" s="2" t="s">
        <v>52</v>
      </c>
      <c r="C8" s="3" t="s">
        <v>178</v>
      </c>
      <c r="D8" s="40" t="s">
        <v>54</v>
      </c>
      <c r="E8" s="4" t="s">
        <v>55</v>
      </c>
      <c r="F8" s="2" t="n">
        <v>480</v>
      </c>
      <c r="G8" s="2" t="n">
        <f aca="false">IF(G$4&gt;0,(IF(F8&lt;&gt;0,F8*G$4/100," ")),IF(F8&lt;&gt;0,F8*G$2/(100+G$2)," "))</f>
        <v>80</v>
      </c>
      <c r="H8" s="2" t="n">
        <f aca="false">IF((F8&lt;&gt;0),F8-G8," ")</f>
        <v>400</v>
      </c>
      <c r="L8" s="7" t="n">
        <f aca="false">IF(F8&lt;&gt;0,F8-K8," ")</f>
        <v>480</v>
      </c>
      <c r="M8" s="8" t="n">
        <f aca="false">IF((F8-K8)&lt;&gt;0,M$1-A8," ")</f>
        <v>-329</v>
      </c>
      <c r="O8" s="2" t="n">
        <f aca="false">IF((E8="a"),H8," ")</f>
        <v>400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46609</v>
      </c>
      <c r="B9" s="2" t="s">
        <v>57</v>
      </c>
      <c r="C9" s="3" t="s">
        <v>179</v>
      </c>
      <c r="D9" s="40" t="s">
        <v>59</v>
      </c>
      <c r="E9" s="4" t="s">
        <v>55</v>
      </c>
      <c r="F9" s="2" t="n">
        <v>720</v>
      </c>
      <c r="G9" s="2" t="n">
        <f aca="false">IF(G$4&gt;0,(IF(F9&lt;&gt;0,F9*G$4/100," ")),IF(F9&lt;&gt;0,F9*G$2/(100+G$2)," "))</f>
        <v>120</v>
      </c>
      <c r="H9" s="2" t="n">
        <f aca="false">IF((F9&lt;&gt;0),F9-G9," ")</f>
        <v>600</v>
      </c>
      <c r="L9" s="7" t="n">
        <f aca="false">IF(F9&lt;&gt;0,F9-K9," ")</f>
        <v>720</v>
      </c>
      <c r="M9" s="8" t="n">
        <f aca="false">IF((F9-K9)&lt;&gt;0,M$1-A9," ")</f>
        <v>-331</v>
      </c>
      <c r="O9" s="2" t="n">
        <f aca="false">IF((E9="a"),H9," ")</f>
        <v>600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46613</v>
      </c>
      <c r="B10" s="2" t="s">
        <v>107</v>
      </c>
      <c r="C10" s="3" t="s">
        <v>180</v>
      </c>
      <c r="D10" s="40" t="s">
        <v>109</v>
      </c>
      <c r="E10" s="4" t="s">
        <v>55</v>
      </c>
      <c r="F10" s="2" t="n">
        <v>2160</v>
      </c>
      <c r="G10" s="2" t="n">
        <f aca="false">IF(G$4&gt;0,(IF(F10&lt;&gt;0,F10*G$4/100," ")),IF(F10&lt;&gt;0,F10*G$2/(100+G$2)," "))</f>
        <v>360</v>
      </c>
      <c r="H10" s="2" t="n">
        <f aca="false">IF((F10&lt;&gt;0),F10-G10," ")</f>
        <v>1800</v>
      </c>
      <c r="L10" s="7" t="n">
        <f aca="false">IF(F10&lt;&gt;0,F10-K10," ")</f>
        <v>2160</v>
      </c>
      <c r="M10" s="8" t="n">
        <f aca="false">IF((F10-K10)&lt;&gt;0,M$1-A10," ")</f>
        <v>-335</v>
      </c>
      <c r="O10" s="2" t="n">
        <f aca="false">IF((E10="a"),H10," ")</f>
        <v>1800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46614</v>
      </c>
      <c r="B11" s="2" t="s">
        <v>17</v>
      </c>
      <c r="C11" s="3" t="s">
        <v>181</v>
      </c>
      <c r="D11" s="40" t="s">
        <v>61</v>
      </c>
      <c r="E11" s="4" t="s">
        <v>55</v>
      </c>
      <c r="F11" s="2" t="n">
        <v>25000</v>
      </c>
      <c r="G11" s="2" t="n">
        <f aca="false">IF(G$4&gt;0,(IF(F11&lt;&gt;0,F11*G$4/100," ")),IF(F11&lt;&gt;0,F11*G$2/(100+G$2)," "))</f>
        <v>4166.66666666667</v>
      </c>
      <c r="H11" s="2" t="n">
        <f aca="false">IF((F11&lt;&gt;0),F11-G11," ")</f>
        <v>20833.3333333333</v>
      </c>
      <c r="L11" s="7" t="n">
        <f aca="false">IF(F11&lt;&gt;0,F11-K11," ")</f>
        <v>25000</v>
      </c>
      <c r="M11" s="8" t="n">
        <f aca="false">IF((F11-K11)&lt;&gt;0,M$1-A11," ")</f>
        <v>-336</v>
      </c>
      <c r="O11" s="2" t="n">
        <f aca="false">IF((E11="a"),H11," ")</f>
        <v>20833.3333333333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46615</v>
      </c>
      <c r="B12" s="2" t="s">
        <v>81</v>
      </c>
      <c r="C12" s="3" t="s">
        <v>182</v>
      </c>
      <c r="D12" s="40" t="s">
        <v>83</v>
      </c>
      <c r="E12" s="4" t="s">
        <v>84</v>
      </c>
      <c r="F12" s="2" t="n">
        <v>1200</v>
      </c>
      <c r="G12" s="2" t="n">
        <f aca="false">IF(G$4&gt;0,(IF(F12&lt;&gt;0,F12*G$4/100," ")),IF(F12&lt;&gt;0,F12*G$2/(100+G$2)," "))</f>
        <v>200</v>
      </c>
      <c r="H12" s="2" t="n">
        <f aca="false">IF((F12&lt;&gt;0),F12-G12," ")</f>
        <v>1000</v>
      </c>
      <c r="L12" s="7" t="n">
        <f aca="false">IF(F12&lt;&gt;0,F12-K12," ")</f>
        <v>1200</v>
      </c>
      <c r="M12" s="8" t="n">
        <f aca="false">IF((F12-K12)&lt;&gt;0,M$1-A12," ")</f>
        <v>-337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1000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46617</v>
      </c>
      <c r="B13" s="2" t="s">
        <v>62</v>
      </c>
      <c r="C13" s="3" t="s">
        <v>183</v>
      </c>
      <c r="D13" s="40" t="s">
        <v>64</v>
      </c>
      <c r="E13" s="4" t="s">
        <v>55</v>
      </c>
      <c r="F13" s="2" t="n">
        <v>2400</v>
      </c>
      <c r="G13" s="2" t="n">
        <f aca="false">IF(G$4&gt;0,(IF(F13&lt;&gt;0,F13*G$4/100," ")),IF(F13&lt;&gt;0,F13*G$2/(100+G$2)," "))</f>
        <v>400</v>
      </c>
      <c r="H13" s="2" t="n">
        <f aca="false">IF((F13&lt;&gt;0),F13-G13," ")</f>
        <v>2000</v>
      </c>
      <c r="L13" s="7" t="n">
        <f aca="false">IF(F13&lt;&gt;0,F13-K13," ")</f>
        <v>2400</v>
      </c>
      <c r="M13" s="8" t="n">
        <f aca="false">IF((F13-K13)&lt;&gt;0,M$1-A13," ")</f>
        <v>-339</v>
      </c>
      <c r="O13" s="2" t="n">
        <f aca="false">IF((E13="a"),H13," ")</f>
        <v>2000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A14" s="1" t="n">
        <v>46624</v>
      </c>
      <c r="B14" s="2" t="s">
        <v>184</v>
      </c>
      <c r="C14" s="3" t="s">
        <v>185</v>
      </c>
      <c r="D14" s="40" t="s">
        <v>140</v>
      </c>
      <c r="E14" s="4" t="s">
        <v>71</v>
      </c>
      <c r="F14" s="2" t="n">
        <v>480</v>
      </c>
      <c r="G14" s="2" t="n">
        <f aca="false">IF(G$4&gt;0,(IF(F14&lt;&gt;0,F14*G$4/100," ")),IF(F14&lt;&gt;0,F14*G$2/(100+G$2)," "))</f>
        <v>80</v>
      </c>
      <c r="H14" s="2" t="n">
        <f aca="false">IF((F14&lt;&gt;0),F14-G14," ")</f>
        <v>400</v>
      </c>
      <c r="L14" s="7" t="n">
        <f aca="false">IF(F14&lt;&gt;0,F14-K14," ")</f>
        <v>480</v>
      </c>
      <c r="M14" s="8" t="n">
        <f aca="false">IF((F14-K14)&lt;&gt;0,M$1-A14," ")</f>
        <v>-346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n">
        <f aca="false">IF((E14="d"),H14," ")</f>
        <v>400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  <c r="BZ14" s="2" t="s">
        <v>72</v>
      </c>
    </row>
    <row r="15" customFormat="false" ht="12" hidden="false" customHeight="false" outlineLevel="0" collapsed="false">
      <c r="A15" s="1" t="n">
        <v>46627</v>
      </c>
      <c r="B15" s="2" t="s">
        <v>68</v>
      </c>
      <c r="C15" s="3" t="s">
        <v>186</v>
      </c>
      <c r="D15" s="40" t="s">
        <v>70</v>
      </c>
      <c r="E15" s="4" t="s">
        <v>71</v>
      </c>
      <c r="F15" s="2" t="n">
        <v>840</v>
      </c>
      <c r="G15" s="2" t="n">
        <f aca="false">IF(G$4&gt;0,(IF(F15&lt;&gt;0,F15*G$4/100," ")),IF(F15&lt;&gt;0,F15*G$2/(100+G$2)," "))</f>
        <v>140</v>
      </c>
      <c r="H15" s="2" t="n">
        <f aca="false">IF((F15&lt;&gt;0),F15-G15," ")</f>
        <v>700</v>
      </c>
      <c r="L15" s="7" t="n">
        <f aca="false">IF(F15&lt;&gt;0,F15-K15," ")</f>
        <v>840</v>
      </c>
      <c r="M15" s="8" t="n">
        <f aca="false">IF((F15-K15)&lt;&gt;0,M$1-A15," ")</f>
        <v>-349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n">
        <f aca="false">IF((E15="d"),H15," ")</f>
        <v>700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  <c r="BZ15" s="2" t="s">
        <v>72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34360</v>
      </c>
      <c r="G1" s="12" t="n">
        <f aca="false">SUM(G5:G300)</f>
        <v>5726.66666666667</v>
      </c>
      <c r="H1" s="12" t="n">
        <f aca="false">SUM(H5:H300)</f>
        <v>28633.3333333333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34360</v>
      </c>
      <c r="M1" s="17" t="n">
        <f aca="true">TODAY()</f>
        <v>46278</v>
      </c>
      <c r="N1" s="18"/>
      <c r="O1" s="12" t="n">
        <f aca="false">SUM(O5:O300)</f>
        <v>26333.3333333333</v>
      </c>
      <c r="P1" s="12" t="n">
        <f aca="false">SUM(P5:P300)</f>
        <v>800</v>
      </c>
      <c r="Q1" s="12" t="n">
        <f aca="false">SUM(Q5:Q300)</f>
        <v>1500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Aug!G2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s">
        <v>31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/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Aug!G4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46633</v>
      </c>
      <c r="B5" s="2" t="s">
        <v>46</v>
      </c>
      <c r="C5" s="3" t="s">
        <v>187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-355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46635</v>
      </c>
      <c r="B6" s="2" t="s">
        <v>49</v>
      </c>
      <c r="C6" s="3" t="s">
        <v>188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-357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46638</v>
      </c>
      <c r="B7" s="2" t="s">
        <v>52</v>
      </c>
      <c r="C7" s="3" t="s">
        <v>189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-360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46640</v>
      </c>
      <c r="B8" s="2" t="s">
        <v>57</v>
      </c>
      <c r="C8" s="3" t="s">
        <v>190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-362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46645</v>
      </c>
      <c r="B9" s="2" t="s">
        <v>17</v>
      </c>
      <c r="C9" s="3" t="s">
        <v>191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-367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46648</v>
      </c>
      <c r="B10" s="2" t="s">
        <v>62</v>
      </c>
      <c r="C10" s="3" t="s">
        <v>192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-370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46650</v>
      </c>
      <c r="B11" s="2" t="s">
        <v>65</v>
      </c>
      <c r="C11" s="3" t="s">
        <v>193</v>
      </c>
      <c r="D11" s="40" t="s">
        <v>67</v>
      </c>
      <c r="E11" s="4" t="s">
        <v>55</v>
      </c>
      <c r="F11" s="2" t="n">
        <v>1800</v>
      </c>
      <c r="G11" s="2" t="n">
        <f aca="false">IF(G$4&gt;0,(IF(F11&lt;&gt;0,F11*G$4/100," ")),IF(F11&lt;&gt;0,F11*G$2/(100+G$2)," "))</f>
        <v>300</v>
      </c>
      <c r="H11" s="2" t="n">
        <f aca="false">IF((F11&lt;&gt;0),F11-G11," ")</f>
        <v>1500</v>
      </c>
      <c r="L11" s="7" t="n">
        <f aca="false">IF(F11&lt;&gt;0,F11-K11," ")</f>
        <v>1800</v>
      </c>
      <c r="M11" s="8" t="n">
        <f aca="false">IF((F11-K11)&lt;&gt;0,M$1-A11," ")</f>
        <v>-372</v>
      </c>
      <c r="O11" s="2" t="n">
        <f aca="false">IF((E11="a"),H11," ")</f>
        <v>1500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46650</v>
      </c>
      <c r="B12" s="2" t="s">
        <v>194</v>
      </c>
      <c r="C12" s="3" t="s">
        <v>195</v>
      </c>
      <c r="D12" s="40" t="s">
        <v>196</v>
      </c>
      <c r="E12" s="4" t="s">
        <v>84</v>
      </c>
      <c r="F12" s="2" t="n">
        <v>1800</v>
      </c>
      <c r="G12" s="2" t="n">
        <f aca="false">IF(G$4&gt;0,(IF(F12&lt;&gt;0,F12*G$4/100," ")),IF(F12&lt;&gt;0,F12*G$2/(100+G$2)," "))</f>
        <v>300</v>
      </c>
      <c r="H12" s="2" t="n">
        <f aca="false">IF((F12&lt;&gt;0),F12-G12," ")</f>
        <v>1500</v>
      </c>
      <c r="L12" s="7" t="n">
        <f aca="false">IF(F12&lt;&gt;0,F12-K12," ")</f>
        <v>1800</v>
      </c>
      <c r="M12" s="8" t="n">
        <f aca="false">IF((F12-K12)&lt;&gt;0,M$1-A12," ")</f>
        <v>-372</v>
      </c>
      <c r="O12" s="2" t="str">
        <f aca="false">IF((E12="a"),H12," ")</f>
        <v> </v>
      </c>
      <c r="P12" s="2" t="str">
        <f aca="false">IF((E12="b"),H12," ")</f>
        <v> </v>
      </c>
      <c r="Q12" s="2" t="n">
        <f aca="false">IF((E12="c"),H12," ")</f>
        <v>1500</v>
      </c>
      <c r="R12" s="2" t="str">
        <f aca="false">IF((E12="d"),H12," ")</f>
        <v> </v>
      </c>
      <c r="S12" s="2" t="str">
        <f aca="false">IF((E12="g"),H12," ")</f>
        <v> </v>
      </c>
      <c r="T12" s="2" t="str">
        <f aca="false">IF((E12="o"),H12," ")</f>
        <v> </v>
      </c>
      <c r="U12" s="2" t="str">
        <f aca="false">IF((E12="FS"),H12," ")</f>
        <v> </v>
      </c>
      <c r="BZ12" s="2" t="s">
        <v>85</v>
      </c>
    </row>
    <row r="13" customFormat="false" ht="12" hidden="false" customHeight="false" outlineLevel="0" collapsed="false">
      <c r="A13" s="1" t="n">
        <v>46655</v>
      </c>
      <c r="B13" s="2" t="s">
        <v>87</v>
      </c>
      <c r="C13" s="3" t="s">
        <v>197</v>
      </c>
      <c r="D13" s="40" t="s">
        <v>89</v>
      </c>
      <c r="E13" s="4" t="s">
        <v>55</v>
      </c>
      <c r="F13" s="2" t="n">
        <v>1200</v>
      </c>
      <c r="G13" s="2" t="n">
        <f aca="false">IF(G$4&gt;0,(IF(F13&lt;&gt;0,F13*G$4/100," ")),IF(F13&lt;&gt;0,F13*G$2/(100+G$2)," "))</f>
        <v>200</v>
      </c>
      <c r="H13" s="2" t="n">
        <f aca="false">IF((F13&lt;&gt;0),F13-G13," ")</f>
        <v>1000</v>
      </c>
      <c r="L13" s="7" t="n">
        <f aca="false">IF(F13&lt;&gt;0,F13-K13," ")</f>
        <v>1200</v>
      </c>
      <c r="M13" s="8" t="n">
        <f aca="false">IF((F13-K13)&lt;&gt;0,M$1-A13," ")</f>
        <v>-377</v>
      </c>
      <c r="O13" s="2" t="n">
        <f aca="false">IF((E13="a"),H13," ")</f>
        <v>1000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  <c r="BZ13" s="2" t="s">
        <v>56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3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U2:U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0" width="14.66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true" hidden="false" outlineLevel="0" max="21" min="15" style="2" width="9.66"/>
    <col collapsed="false" customWidth="false" hidden="false" outlineLevel="0" max="22" min="22" style="2" width="9.15"/>
    <col collapsed="false" customWidth="true" hidden="false" outlineLevel="0" max="23" min="23" style="2" width="15.66"/>
    <col collapsed="false" customWidth="false" hidden="false" outlineLevel="0" max="257" min="24" style="2" width="9.15"/>
  </cols>
  <sheetData>
    <row r="1" s="19" customFormat="true" ht="13.5" hidden="false" customHeight="true" outlineLevel="0" collapsed="false">
      <c r="A1" s="41" t="n">
        <f aca="false">F1-G1-SUM(O1:U1)</f>
        <v>0</v>
      </c>
      <c r="B1" s="42" t="s">
        <v>23</v>
      </c>
      <c r="C1" s="22" t="s">
        <v>5</v>
      </c>
      <c r="D1" s="43" t="s">
        <v>24</v>
      </c>
      <c r="E1" s="43"/>
      <c r="F1" s="12" t="n">
        <f aca="false">SUM(F5:F300)</f>
        <v>31360</v>
      </c>
      <c r="G1" s="12" t="n">
        <f aca="false">SUM(G5:G300)</f>
        <v>5226.66666666667</v>
      </c>
      <c r="H1" s="12" t="n">
        <f aca="false">SUM(H5:H300)</f>
        <v>26133.3333333333</v>
      </c>
      <c r="I1" s="13"/>
      <c r="J1" s="14" t="s">
        <v>2</v>
      </c>
      <c r="K1" s="15" t="n">
        <f aca="false">SUM(K5:K300)</f>
        <v>0</v>
      </c>
      <c r="L1" s="16" t="n">
        <f aca="false">SUM(L5:L300)</f>
        <v>31360</v>
      </c>
      <c r="M1" s="17" t="n">
        <f aca="true">TODAY()</f>
        <v>46278</v>
      </c>
      <c r="N1" s="18"/>
      <c r="O1" s="12" t="n">
        <f aca="false">SUM(O5:O300)</f>
        <v>25033.3333333333</v>
      </c>
      <c r="P1" s="12" t="n">
        <f aca="false">SUM(P5:P300)</f>
        <v>800</v>
      </c>
      <c r="Q1" s="12" t="n">
        <f aca="false">SUM(Q5:Q300)</f>
        <v>0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300</v>
      </c>
      <c r="U1" s="12" t="n">
        <f aca="false">SUM(U5:U300)</f>
        <v>0</v>
      </c>
      <c r="V1" s="12" t="n">
        <f aca="false">SUM(V5:V300)</f>
        <v>0</v>
      </c>
      <c r="W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/>
      <c r="D2" s="23" t="s">
        <v>6</v>
      </c>
      <c r="E2" s="24" t="s">
        <v>25</v>
      </c>
      <c r="F2" s="21" t="s">
        <v>7</v>
      </c>
      <c r="G2" s="25" t="n">
        <f aca="false">Sep!G2</f>
        <v>20</v>
      </c>
      <c r="H2" s="21" t="s">
        <v>26</v>
      </c>
      <c r="I2" s="13"/>
      <c r="J2" s="14"/>
      <c r="K2" s="26" t="s">
        <v>9</v>
      </c>
      <c r="L2" s="26"/>
      <c r="M2" s="26"/>
      <c r="N2" s="18"/>
      <c r="O2" s="21" t="s">
        <v>27</v>
      </c>
      <c r="P2" s="21"/>
      <c r="Q2" s="21"/>
      <c r="R2" s="21" t="s">
        <v>28</v>
      </c>
      <c r="S2" s="21" t="s">
        <v>29</v>
      </c>
      <c r="T2" s="21" t="s">
        <v>30</v>
      </c>
      <c r="U2" s="21" t="n">
        <f aca="false">Nov!U1+Dec!U1+Jan!U1+Feb!U1+Mar!U1+Apr!U1+May!U1+Jun!U1+Jul!U1+Aug!U1+Sep!U1+Oct!U1</f>
        <v>12500</v>
      </c>
      <c r="V2" s="21" t="s">
        <v>10</v>
      </c>
      <c r="W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44" t="s">
        <v>32</v>
      </c>
      <c r="P3" s="44" t="s">
        <v>33</v>
      </c>
      <c r="Q3" s="44" t="s">
        <v>34</v>
      </c>
      <c r="R3" s="21"/>
      <c r="S3" s="21"/>
      <c r="T3" s="21"/>
      <c r="U3" s="21" t="s">
        <v>31</v>
      </c>
      <c r="V3" s="21" t="s">
        <v>15</v>
      </c>
      <c r="W3" s="21" t="s">
        <v>16</v>
      </c>
    </row>
    <row r="4" customFormat="false" ht="12.75" hidden="false" customHeight="true" outlineLevel="0" collapsed="false">
      <c r="A4" s="20"/>
      <c r="B4" s="20"/>
      <c r="C4" s="22"/>
      <c r="D4" s="23"/>
      <c r="E4" s="24"/>
      <c r="F4" s="21"/>
      <c r="G4" s="31" t="n">
        <f aca="false">Sep!G4</f>
        <v>0</v>
      </c>
      <c r="H4" s="21"/>
      <c r="I4" s="13"/>
      <c r="J4" s="14"/>
      <c r="K4" s="27"/>
      <c r="L4" s="28"/>
      <c r="M4" s="28"/>
      <c r="N4" s="18"/>
      <c r="O4" s="12" t="s">
        <v>35</v>
      </c>
      <c r="P4" s="12" t="s">
        <v>36</v>
      </c>
      <c r="Q4" s="12" t="s">
        <v>37</v>
      </c>
      <c r="R4" s="12" t="s">
        <v>38</v>
      </c>
      <c r="S4" s="12" t="s">
        <v>39</v>
      </c>
      <c r="T4" s="12" t="s">
        <v>40</v>
      </c>
      <c r="U4" s="12" t="s">
        <v>41</v>
      </c>
      <c r="V4" s="21"/>
      <c r="W4" s="21"/>
    </row>
    <row r="5" customFormat="false" ht="12.75" hidden="false" customHeight="true" outlineLevel="0" collapsed="false">
      <c r="A5" s="1" t="n">
        <v>46663</v>
      </c>
      <c r="B5" s="2" t="s">
        <v>46</v>
      </c>
      <c r="C5" s="3" t="s">
        <v>198</v>
      </c>
      <c r="D5" s="40" t="s">
        <v>48</v>
      </c>
      <c r="E5" s="4" t="s">
        <v>44</v>
      </c>
      <c r="F5" s="2" t="n">
        <v>360</v>
      </c>
      <c r="G5" s="2" t="n">
        <f aca="false">IF(G$4&gt;0,(IF(F5&lt;&gt;0,F5*G$4/100," ")),IF(F5&lt;&gt;0,F5*G$2/(100+G$2)," "))</f>
        <v>60</v>
      </c>
      <c r="H5" s="2" t="n">
        <f aca="false">IF((F5&lt;&gt;0),F5-G5," ")</f>
        <v>300</v>
      </c>
      <c r="L5" s="7" t="n">
        <f aca="false">IF(F5&lt;&gt;0,F5-K5," ")</f>
        <v>360</v>
      </c>
      <c r="M5" s="8" t="n">
        <f aca="false">IF((F5-K5)&lt;&gt;0,M$1-A5," ")</f>
        <v>-385</v>
      </c>
      <c r="O5" s="2" t="str">
        <f aca="false">IF((E5="a"),H5," ")</f>
        <v> </v>
      </c>
      <c r="P5" s="2" t="n">
        <f aca="false">IF((E5="b"),H5," ")</f>
        <v>300</v>
      </c>
      <c r="Q5" s="2" t="str">
        <f aca="false">IF((E5="c"),H5," ")</f>
        <v> </v>
      </c>
      <c r="R5" s="2" t="str">
        <f aca="false">IF((E5="d"),H5," ")</f>
        <v> </v>
      </c>
      <c r="S5" s="2" t="str">
        <f aca="false">IF((E5="g"),H5," ")</f>
        <v> </v>
      </c>
      <c r="T5" s="2" t="str">
        <f aca="false">IF((E5="o"),H5," ")</f>
        <v> </v>
      </c>
      <c r="U5" s="2" t="str">
        <f aca="false">IF((E5="FS"),H5," ")</f>
        <v> </v>
      </c>
      <c r="BZ5" s="2" t="s">
        <v>45</v>
      </c>
    </row>
    <row r="6" customFormat="false" ht="12.75" hidden="false" customHeight="true" outlineLevel="0" collapsed="false">
      <c r="A6" s="1" t="n">
        <v>46665</v>
      </c>
      <c r="B6" s="2" t="s">
        <v>49</v>
      </c>
      <c r="C6" s="3" t="s">
        <v>199</v>
      </c>
      <c r="D6" s="40" t="s">
        <v>51</v>
      </c>
      <c r="E6" s="4" t="s">
        <v>44</v>
      </c>
      <c r="F6" s="2" t="n">
        <v>600</v>
      </c>
      <c r="G6" s="2" t="n">
        <f aca="false">IF(G$4&gt;0,(IF(F6&lt;&gt;0,F6*G$4/100," ")),IF(F6&lt;&gt;0,F6*G$2/(100+G$2)," "))</f>
        <v>100</v>
      </c>
      <c r="H6" s="2" t="n">
        <f aca="false">IF((F6&lt;&gt;0),F6-G6," ")</f>
        <v>500</v>
      </c>
      <c r="L6" s="7" t="n">
        <f aca="false">IF(F6&lt;&gt;0,F6-K6," ")</f>
        <v>600</v>
      </c>
      <c r="M6" s="8" t="n">
        <f aca="false">IF((F6-K6)&lt;&gt;0,M$1-A6," ")</f>
        <v>-387</v>
      </c>
      <c r="O6" s="2" t="str">
        <f aca="false">IF((E6="a"),H6," ")</f>
        <v> </v>
      </c>
      <c r="P6" s="2" t="n">
        <f aca="false">IF((E6="b"),H6," ")</f>
        <v>500</v>
      </c>
      <c r="Q6" s="2" t="str">
        <f aca="false">IF((E6="c"),H6," ")</f>
        <v> </v>
      </c>
      <c r="R6" s="2" t="str">
        <f aca="false">IF((E6="d"),H6," ")</f>
        <v> </v>
      </c>
      <c r="S6" s="2" t="str">
        <f aca="false">IF((E6="g"),H6," ")</f>
        <v> </v>
      </c>
      <c r="T6" s="2" t="str">
        <f aca="false">IF((E6="o"),H6," ")</f>
        <v> </v>
      </c>
      <c r="U6" s="2" t="str">
        <f aca="false">IF((E6="FS"),H6," ")</f>
        <v> </v>
      </c>
      <c r="BZ6" s="2" t="s">
        <v>45</v>
      </c>
    </row>
    <row r="7" customFormat="false" ht="12" hidden="false" customHeight="false" outlineLevel="0" collapsed="false">
      <c r="A7" s="1" t="n">
        <v>46668</v>
      </c>
      <c r="B7" s="2" t="s">
        <v>52</v>
      </c>
      <c r="C7" s="3" t="s">
        <v>200</v>
      </c>
      <c r="D7" s="40" t="s">
        <v>54</v>
      </c>
      <c r="E7" s="4" t="s">
        <v>55</v>
      </c>
      <c r="F7" s="2" t="n">
        <v>480</v>
      </c>
      <c r="G7" s="2" t="n">
        <f aca="false">IF(G$4&gt;0,(IF(F7&lt;&gt;0,F7*G$4/100," ")),IF(F7&lt;&gt;0,F7*G$2/(100+G$2)," "))</f>
        <v>80</v>
      </c>
      <c r="H7" s="2" t="n">
        <f aca="false">IF((F7&lt;&gt;0),F7-G7," ")</f>
        <v>400</v>
      </c>
      <c r="L7" s="7" t="n">
        <f aca="false">IF(F7&lt;&gt;0,F7-K7," ")</f>
        <v>480</v>
      </c>
      <c r="M7" s="8" t="n">
        <f aca="false">IF((F7-K7)&lt;&gt;0,M$1-A7," ")</f>
        <v>-390</v>
      </c>
      <c r="O7" s="2" t="n">
        <f aca="false">IF((E7="a"),H7," ")</f>
        <v>400</v>
      </c>
      <c r="P7" s="2" t="str">
        <f aca="false">IF((E7="b"),H7," ")</f>
        <v> </v>
      </c>
      <c r="Q7" s="2" t="str">
        <f aca="false">IF((E7="c"),H7," ")</f>
        <v> </v>
      </c>
      <c r="R7" s="2" t="str">
        <f aca="false">IF((E7="d"),H7," ")</f>
        <v> </v>
      </c>
      <c r="S7" s="2" t="str">
        <f aca="false">IF((E7="g"),H7," ")</f>
        <v> </v>
      </c>
      <c r="T7" s="2" t="str">
        <f aca="false">IF((E7="o"),H7," ")</f>
        <v> </v>
      </c>
      <c r="U7" s="2" t="str">
        <f aca="false">IF((E7="FS"),H7," ")</f>
        <v> </v>
      </c>
      <c r="BZ7" s="2" t="s">
        <v>56</v>
      </c>
    </row>
    <row r="8" customFormat="false" ht="12" hidden="false" customHeight="false" outlineLevel="0" collapsed="false">
      <c r="A8" s="1" t="n">
        <v>46670</v>
      </c>
      <c r="B8" s="2" t="s">
        <v>57</v>
      </c>
      <c r="C8" s="3" t="s">
        <v>201</v>
      </c>
      <c r="D8" s="40" t="s">
        <v>59</v>
      </c>
      <c r="E8" s="4" t="s">
        <v>55</v>
      </c>
      <c r="F8" s="2" t="n">
        <v>720</v>
      </c>
      <c r="G8" s="2" t="n">
        <f aca="false">IF(G$4&gt;0,(IF(F8&lt;&gt;0,F8*G$4/100," ")),IF(F8&lt;&gt;0,F8*G$2/(100+G$2)," "))</f>
        <v>120</v>
      </c>
      <c r="H8" s="2" t="n">
        <f aca="false">IF((F8&lt;&gt;0),F8-G8," ")</f>
        <v>600</v>
      </c>
      <c r="L8" s="7" t="n">
        <f aca="false">IF(F8&lt;&gt;0,F8-K8," ")</f>
        <v>720</v>
      </c>
      <c r="M8" s="8" t="n">
        <f aca="false">IF((F8-K8)&lt;&gt;0,M$1-A8," ")</f>
        <v>-392</v>
      </c>
      <c r="O8" s="2" t="n">
        <f aca="false">IF((E8="a"),H8," ")</f>
        <v>600</v>
      </c>
      <c r="P8" s="2" t="str">
        <f aca="false">IF((E8="b"),H8," ")</f>
        <v> </v>
      </c>
      <c r="Q8" s="2" t="str">
        <f aca="false">IF((E8="c"),H8," ")</f>
        <v> </v>
      </c>
      <c r="R8" s="2" t="str">
        <f aca="false">IF((E8="d"),H8," ")</f>
        <v> </v>
      </c>
      <c r="S8" s="2" t="str">
        <f aca="false">IF((E8="g"),H8," ")</f>
        <v> </v>
      </c>
      <c r="T8" s="2" t="str">
        <f aca="false">IF((E8="o"),H8," ")</f>
        <v> </v>
      </c>
      <c r="U8" s="2" t="str">
        <f aca="false">IF((E8="FS"),H8," ")</f>
        <v> </v>
      </c>
      <c r="BZ8" s="2" t="s">
        <v>56</v>
      </c>
    </row>
    <row r="9" customFormat="false" ht="12" hidden="false" customHeight="false" outlineLevel="0" collapsed="false">
      <c r="A9" s="1" t="n">
        <v>46675</v>
      </c>
      <c r="B9" s="2" t="s">
        <v>17</v>
      </c>
      <c r="C9" s="3" t="s">
        <v>202</v>
      </c>
      <c r="D9" s="40" t="s">
        <v>61</v>
      </c>
      <c r="E9" s="4" t="s">
        <v>55</v>
      </c>
      <c r="F9" s="2" t="n">
        <v>25000</v>
      </c>
      <c r="G9" s="2" t="n">
        <f aca="false">IF(G$4&gt;0,(IF(F9&lt;&gt;0,F9*G$4/100," ")),IF(F9&lt;&gt;0,F9*G$2/(100+G$2)," "))</f>
        <v>4166.66666666667</v>
      </c>
      <c r="H9" s="2" t="n">
        <f aca="false">IF((F9&lt;&gt;0),F9-G9," ")</f>
        <v>20833.3333333333</v>
      </c>
      <c r="L9" s="7" t="n">
        <f aca="false">IF(F9&lt;&gt;0,F9-K9," ")</f>
        <v>25000</v>
      </c>
      <c r="M9" s="8" t="n">
        <f aca="false">IF((F9-K9)&lt;&gt;0,M$1-A9," ")</f>
        <v>-397</v>
      </c>
      <c r="O9" s="2" t="n">
        <f aca="false">IF((E9="a"),H9," ")</f>
        <v>20833.3333333333</v>
      </c>
      <c r="P9" s="2" t="str">
        <f aca="false">IF((E9="b"),H9," ")</f>
        <v> </v>
      </c>
      <c r="Q9" s="2" t="str">
        <f aca="false">IF((E9="c"),H9," ")</f>
        <v> </v>
      </c>
      <c r="R9" s="2" t="str">
        <f aca="false">IF((E9="d"),H9," ")</f>
        <v> </v>
      </c>
      <c r="S9" s="2" t="str">
        <f aca="false">IF((E9="g"),H9," ")</f>
        <v> </v>
      </c>
      <c r="T9" s="2" t="str">
        <f aca="false">IF((E9="o"),H9," ")</f>
        <v> </v>
      </c>
      <c r="U9" s="2" t="str">
        <f aca="false">IF((E9="FS"),H9," ")</f>
        <v> </v>
      </c>
      <c r="BZ9" s="2" t="s">
        <v>56</v>
      </c>
    </row>
    <row r="10" customFormat="false" ht="12" hidden="false" customHeight="false" outlineLevel="0" collapsed="false">
      <c r="A10" s="1" t="n">
        <v>46678</v>
      </c>
      <c r="B10" s="2" t="s">
        <v>62</v>
      </c>
      <c r="C10" s="3" t="s">
        <v>203</v>
      </c>
      <c r="D10" s="40" t="s">
        <v>64</v>
      </c>
      <c r="E10" s="4" t="s">
        <v>55</v>
      </c>
      <c r="F10" s="2" t="n">
        <v>2400</v>
      </c>
      <c r="G10" s="2" t="n">
        <f aca="false">IF(G$4&gt;0,(IF(F10&lt;&gt;0,F10*G$4/100," ")),IF(F10&lt;&gt;0,F10*G$2/(100+G$2)," "))</f>
        <v>400</v>
      </c>
      <c r="H10" s="2" t="n">
        <f aca="false">IF((F10&lt;&gt;0),F10-G10," ")</f>
        <v>2000</v>
      </c>
      <c r="L10" s="7" t="n">
        <f aca="false">IF(F10&lt;&gt;0,F10-K10," ")</f>
        <v>2400</v>
      </c>
      <c r="M10" s="8" t="n">
        <f aca="false">IF((F10-K10)&lt;&gt;0,M$1-A10," ")</f>
        <v>-400</v>
      </c>
      <c r="O10" s="2" t="n">
        <f aca="false">IF((E10="a"),H10," ")</f>
        <v>2000</v>
      </c>
      <c r="P10" s="2" t="str">
        <f aca="false">IF((E10="b"),H10," ")</f>
        <v> </v>
      </c>
      <c r="Q10" s="2" t="str">
        <f aca="false">IF((E10="c"),H10," ")</f>
        <v> </v>
      </c>
      <c r="R10" s="2" t="str">
        <f aca="false">IF((E10="d"),H10," ")</f>
        <v> </v>
      </c>
      <c r="S10" s="2" t="str">
        <f aca="false">IF((E10="g"),H10," ")</f>
        <v> </v>
      </c>
      <c r="T10" s="2" t="str">
        <f aca="false">IF((E10="o"),H10," ")</f>
        <v> </v>
      </c>
      <c r="U10" s="2" t="str">
        <f aca="false">IF((E10="FS"),H10," ")</f>
        <v> </v>
      </c>
      <c r="BZ10" s="2" t="s">
        <v>56</v>
      </c>
    </row>
    <row r="11" customFormat="false" ht="12" hidden="false" customHeight="false" outlineLevel="0" collapsed="false">
      <c r="A11" s="1" t="n">
        <v>46682</v>
      </c>
      <c r="B11" s="2" t="s">
        <v>99</v>
      </c>
      <c r="C11" s="3" t="s">
        <v>204</v>
      </c>
      <c r="D11" s="40" t="s">
        <v>101</v>
      </c>
      <c r="E11" s="4" t="s">
        <v>55</v>
      </c>
      <c r="F11" s="2" t="n">
        <v>1440</v>
      </c>
      <c r="G11" s="2" t="n">
        <f aca="false">IF(G$4&gt;0,(IF(F11&lt;&gt;0,F11*G$4/100," ")),IF(F11&lt;&gt;0,F11*G$2/(100+G$2)," "))</f>
        <v>240</v>
      </c>
      <c r="H11" s="2" t="n">
        <f aca="false">IF((F11&lt;&gt;0),F11-G11," ")</f>
        <v>1200</v>
      </c>
      <c r="L11" s="7" t="n">
        <f aca="false">IF(F11&lt;&gt;0,F11-K11," ")</f>
        <v>1440</v>
      </c>
      <c r="M11" s="8" t="n">
        <f aca="false">IF((F11-K11)&lt;&gt;0,M$1-A11," ")</f>
        <v>-404</v>
      </c>
      <c r="O11" s="2" t="n">
        <f aca="false">IF((E11="a"),H11," ")</f>
        <v>1200</v>
      </c>
      <c r="P11" s="2" t="str">
        <f aca="false">IF((E11="b"),H11," ")</f>
        <v> </v>
      </c>
      <c r="Q11" s="2" t="str">
        <f aca="false">IF((E11="c"),H11," ")</f>
        <v> </v>
      </c>
      <c r="R11" s="2" t="str">
        <f aca="false">IF((E11="d"),H11," ")</f>
        <v> </v>
      </c>
      <c r="S11" s="2" t="str">
        <f aca="false">IF((E11="g"),H11," ")</f>
        <v> </v>
      </c>
      <c r="T11" s="2" t="str">
        <f aca="false">IF((E11="o"),H11," ")</f>
        <v> </v>
      </c>
      <c r="U11" s="2" t="str">
        <f aca="false">IF((E11="FS"),H11," ")</f>
        <v> </v>
      </c>
      <c r="BZ11" s="2" t="s">
        <v>56</v>
      </c>
    </row>
    <row r="12" customFormat="false" ht="12" hidden="false" customHeight="false" outlineLevel="0" collapsed="false">
      <c r="A12" s="1" t="n">
        <v>46691</v>
      </c>
      <c r="B12" s="2" t="s">
        <v>205</v>
      </c>
      <c r="C12" s="3" t="s">
        <v>206</v>
      </c>
      <c r="D12" s="40" t="s">
        <v>207</v>
      </c>
      <c r="E12" s="4" t="s">
        <v>208</v>
      </c>
      <c r="F12" s="2" t="n">
        <v>360</v>
      </c>
      <c r="G12" s="2" t="n">
        <f aca="false">IF(G$4&gt;0,(IF(F12&lt;&gt;0,F12*G$4/100," ")),IF(F12&lt;&gt;0,F12*G$2/(100+G$2)," "))</f>
        <v>60</v>
      </c>
      <c r="H12" s="2" t="n">
        <f aca="false">IF((F12&lt;&gt;0),F12-G12," ")</f>
        <v>300</v>
      </c>
      <c r="L12" s="7" t="n">
        <f aca="false">IF(F12&lt;&gt;0,F12-K12," ")</f>
        <v>360</v>
      </c>
      <c r="M12" s="8" t="n">
        <f aca="false">IF((F12-K12)&lt;&gt;0,M$1-A12," ")</f>
        <v>-413</v>
      </c>
      <c r="O12" s="2" t="str">
        <f aca="false">IF((E12="a"),H12," ")</f>
        <v> </v>
      </c>
      <c r="P12" s="2" t="str">
        <f aca="false">IF((E12="b"),H12," ")</f>
        <v> </v>
      </c>
      <c r="Q12" s="2" t="str">
        <f aca="false">IF((E12="c"),H12," ")</f>
        <v> </v>
      </c>
      <c r="R12" s="2" t="str">
        <f aca="false">IF((E12="d"),H12," ")</f>
        <v> </v>
      </c>
      <c r="S12" s="2" t="str">
        <f aca="false">IF((E12="g"),H12," ")</f>
        <v> </v>
      </c>
      <c r="T12" s="2" t="n">
        <f aca="false">IF((E12="o"),H12," ")</f>
        <v>300</v>
      </c>
      <c r="U12" s="2" t="str">
        <f aca="false">IF((E12="FS"),H12," ")</f>
        <v> </v>
      </c>
      <c r="BZ12" s="2" t="s">
        <v>209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H13" s="2" t="str">
        <f aca="false">IF((F13&lt;&gt;0),F13-G13,"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  <c r="O13" s="2" t="str">
        <f aca="false">IF((E13="a"),H13," ")</f>
        <v> </v>
      </c>
      <c r="P13" s="2" t="str">
        <f aca="false">IF((E13="b"),H13," ")</f>
        <v> </v>
      </c>
      <c r="Q13" s="2" t="str">
        <f aca="false">IF((E13="c"),H13," ")</f>
        <v> </v>
      </c>
      <c r="R13" s="2" t="str">
        <f aca="false">IF((E13="d"),H13," ")</f>
        <v> </v>
      </c>
      <c r="S13" s="2" t="str">
        <f aca="false">IF((E13="g"),H13," ")</f>
        <v> </v>
      </c>
      <c r="T13" s="2" t="str">
        <f aca="false">IF((E13="o"),H13," ")</f>
        <v> </v>
      </c>
      <c r="U13" s="2" t="str">
        <f aca="false">IF((E13="FS"),H13,"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H14" s="2" t="str">
        <f aca="false">IF((F14&lt;&gt;0),F14-G14,"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  <c r="O14" s="2" t="str">
        <f aca="false">IF((E14="a"),H14," ")</f>
        <v> </v>
      </c>
      <c r="P14" s="2" t="str">
        <f aca="false">IF((E14="b"),H14," ")</f>
        <v> </v>
      </c>
      <c r="Q14" s="2" t="str">
        <f aca="false">IF((E14="c"),H14," ")</f>
        <v> </v>
      </c>
      <c r="R14" s="2" t="str">
        <f aca="false">IF((E14="d"),H14," ")</f>
        <v> </v>
      </c>
      <c r="S14" s="2" t="str">
        <f aca="false">IF((E14="g"),H14," ")</f>
        <v> </v>
      </c>
      <c r="T14" s="2" t="str">
        <f aca="false">IF((E14="o"),H14," ")</f>
        <v> </v>
      </c>
      <c r="U14" s="2" t="str">
        <f aca="false">IF((E14="FS"),H14,"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H15" s="2" t="str">
        <f aca="false">IF((F15&lt;&gt;0),F15-G15,"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  <c r="O15" s="2" t="str">
        <f aca="false">IF((E15="a"),H15," ")</f>
        <v> </v>
      </c>
      <c r="P15" s="2" t="str">
        <f aca="false">IF((E15="b"),H15," ")</f>
        <v> </v>
      </c>
      <c r="Q15" s="2" t="str">
        <f aca="false">IF((E15="c"),H15," ")</f>
        <v> </v>
      </c>
      <c r="R15" s="2" t="str">
        <f aca="false">IF((E15="d"),H15," ")</f>
        <v> </v>
      </c>
      <c r="S15" s="2" t="str">
        <f aca="false">IF((E15="g"),H15," ")</f>
        <v> </v>
      </c>
      <c r="T15" s="2" t="str">
        <f aca="false">IF((E15="o"),H15," ")</f>
        <v> </v>
      </c>
      <c r="U15" s="2" t="str">
        <f aca="false">IF((E15="FS"),H15,"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H16" s="2" t="str">
        <f aca="false">IF((F16&lt;&gt;0),F16-G16,"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  <c r="O16" s="2" t="str">
        <f aca="false">IF((E16="a"),H16," ")</f>
        <v> </v>
      </c>
      <c r="P16" s="2" t="str">
        <f aca="false">IF((E16="b"),H16," ")</f>
        <v> </v>
      </c>
      <c r="Q16" s="2" t="str">
        <f aca="false">IF((E16="c"),H16," ")</f>
        <v> </v>
      </c>
      <c r="R16" s="2" t="str">
        <f aca="false">IF((E16="d"),H16," ")</f>
        <v> </v>
      </c>
      <c r="S16" s="2" t="str">
        <f aca="false">IF((E16="g"),H16," ")</f>
        <v> </v>
      </c>
      <c r="T16" s="2" t="str">
        <f aca="false">IF((E16="o"),H16," ")</f>
        <v> </v>
      </c>
      <c r="U16" s="2" t="str">
        <f aca="false">IF((E16="FS"),H16,"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H17" s="2" t="str">
        <f aca="false">IF((F17&lt;&gt;0),F17-G17,"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  <c r="O17" s="2" t="str">
        <f aca="false">IF((E17="a"),H17," ")</f>
        <v> </v>
      </c>
      <c r="P17" s="2" t="str">
        <f aca="false">IF((E17="b"),H17," ")</f>
        <v> </v>
      </c>
      <c r="Q17" s="2" t="str">
        <f aca="false">IF((E17="c"),H17," ")</f>
        <v> </v>
      </c>
      <c r="R17" s="2" t="str">
        <f aca="false">IF((E17="d"),H17," ")</f>
        <v> </v>
      </c>
      <c r="S17" s="2" t="str">
        <f aca="false">IF((E17="g"),H17," ")</f>
        <v> </v>
      </c>
      <c r="T17" s="2" t="str">
        <f aca="false">IF((E17="o"),H17," ")</f>
        <v> </v>
      </c>
      <c r="U17" s="2" t="str">
        <f aca="false">IF((E17="FS"),H17,"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H18" s="2" t="str">
        <f aca="false">IF((F18&lt;&gt;0),F18-G18,"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  <c r="O18" s="2" t="str">
        <f aca="false">IF((E18="a"),H18," ")</f>
        <v> </v>
      </c>
      <c r="P18" s="2" t="str">
        <f aca="false">IF((E18="b"),H18," ")</f>
        <v> </v>
      </c>
      <c r="Q18" s="2" t="str">
        <f aca="false">IF((E18="c"),H18," ")</f>
        <v> </v>
      </c>
      <c r="R18" s="2" t="str">
        <f aca="false">IF((E18="d"),H18," ")</f>
        <v> </v>
      </c>
      <c r="S18" s="2" t="str">
        <f aca="false">IF((E18="g"),H18," ")</f>
        <v> </v>
      </c>
      <c r="T18" s="2" t="str">
        <f aca="false">IF((E18="o"),H18," ")</f>
        <v> </v>
      </c>
      <c r="U18" s="2" t="str">
        <f aca="false">IF((E18="FS"),H18,"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H19" s="2" t="str">
        <f aca="false">IF((F19&lt;&gt;0),F19-G19,"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  <c r="O19" s="2" t="str">
        <f aca="false">IF((E19="a"),H19," ")</f>
        <v> </v>
      </c>
      <c r="P19" s="2" t="str">
        <f aca="false">IF((E19="b"),H19," ")</f>
        <v> </v>
      </c>
      <c r="Q19" s="2" t="str">
        <f aca="false">IF((E19="c"),H19," ")</f>
        <v> </v>
      </c>
      <c r="R19" s="2" t="str">
        <f aca="false">IF((E19="d"),H19," ")</f>
        <v> </v>
      </c>
      <c r="S19" s="2" t="str">
        <f aca="false">IF((E19="g"),H19," ")</f>
        <v> </v>
      </c>
      <c r="T19" s="2" t="str">
        <f aca="false">IF((E19="o"),H19," ")</f>
        <v> </v>
      </c>
      <c r="U19" s="2" t="str">
        <f aca="false">IF((E19="FS"),H19,"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H20" s="2" t="str">
        <f aca="false">IF((F20&lt;&gt;0),F20-G20,"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  <c r="O20" s="2" t="str">
        <f aca="false">IF((E20="a"),H20," ")</f>
        <v> </v>
      </c>
      <c r="P20" s="2" t="str">
        <f aca="false">IF((E20="b"),H20," ")</f>
        <v> </v>
      </c>
      <c r="Q20" s="2" t="str">
        <f aca="false">IF((E20="c"),H20," ")</f>
        <v> </v>
      </c>
      <c r="R20" s="2" t="str">
        <f aca="false">IF((E20="d"),H20," ")</f>
        <v> </v>
      </c>
      <c r="S20" s="2" t="str">
        <f aca="false">IF((E20="g"),H20," ")</f>
        <v> </v>
      </c>
      <c r="T20" s="2" t="str">
        <f aca="false">IF((E20="o"),H20," ")</f>
        <v> </v>
      </c>
      <c r="U20" s="2" t="str">
        <f aca="false">IF((E20="FS"),H20,"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H21" s="2" t="str">
        <f aca="false">IF((F21&lt;&gt;0),F21-G21,"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  <c r="O21" s="2" t="str">
        <f aca="false">IF((E21="a"),H21," ")</f>
        <v> </v>
      </c>
      <c r="P21" s="2" t="str">
        <f aca="false">IF((E21="b"),H21," ")</f>
        <v> </v>
      </c>
      <c r="Q21" s="2" t="str">
        <f aca="false">IF((E21="c"),H21," ")</f>
        <v> </v>
      </c>
      <c r="R21" s="2" t="str">
        <f aca="false">IF((E21="d"),H21," ")</f>
        <v> </v>
      </c>
      <c r="S21" s="2" t="str">
        <f aca="false">IF((E21="g"),H21," ")</f>
        <v> </v>
      </c>
      <c r="T21" s="2" t="str">
        <f aca="false">IF((E21="o"),H21," ")</f>
        <v> </v>
      </c>
      <c r="U21" s="2" t="str">
        <f aca="false">IF((E21="FS"),H21,"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H22" s="2" t="str">
        <f aca="false">IF((F22&lt;&gt;0),F22-G22,"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  <c r="O22" s="2" t="str">
        <f aca="false">IF((E22="a"),H22," ")</f>
        <v> </v>
      </c>
      <c r="P22" s="2" t="str">
        <f aca="false">IF((E22="b"),H22," ")</f>
        <v> </v>
      </c>
      <c r="Q22" s="2" t="str">
        <f aca="false">IF((E22="c"),H22," ")</f>
        <v> </v>
      </c>
      <c r="R22" s="2" t="str">
        <f aca="false">IF((E22="d"),H22," ")</f>
        <v> </v>
      </c>
      <c r="S22" s="2" t="str">
        <f aca="false">IF((E22="g"),H22," ")</f>
        <v> </v>
      </c>
      <c r="T22" s="2" t="str">
        <f aca="false">IF((E22="o"),H22," ")</f>
        <v> </v>
      </c>
      <c r="U22" s="2" t="str">
        <f aca="false">IF((E22="FS"),H22,"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H23" s="2" t="str">
        <f aca="false">IF((F23&lt;&gt;0),F23-G23,"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  <c r="O23" s="2" t="str">
        <f aca="false">IF((E23="a"),H23," ")</f>
        <v> </v>
      </c>
      <c r="P23" s="2" t="str">
        <f aca="false">IF((E23="b"),H23," ")</f>
        <v> </v>
      </c>
      <c r="Q23" s="2" t="str">
        <f aca="false">IF((E23="c"),H23," ")</f>
        <v> </v>
      </c>
      <c r="R23" s="2" t="str">
        <f aca="false">IF((E23="d"),H23," ")</f>
        <v> </v>
      </c>
      <c r="S23" s="2" t="str">
        <f aca="false">IF((E23="g"),H23," ")</f>
        <v> </v>
      </c>
      <c r="T23" s="2" t="str">
        <f aca="false">IF((E23="o"),H23," ")</f>
        <v> </v>
      </c>
      <c r="U23" s="2" t="str">
        <f aca="false">IF((E23="FS"),H23,"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H24" s="2" t="str">
        <f aca="false">IF((F24&lt;&gt;0),F24-G24,"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  <c r="O24" s="2" t="str">
        <f aca="false">IF((E24="a"),H24," ")</f>
        <v> </v>
      </c>
      <c r="P24" s="2" t="str">
        <f aca="false">IF((E24="b"),H24," ")</f>
        <v> </v>
      </c>
      <c r="Q24" s="2" t="str">
        <f aca="false">IF((E24="c"),H24," ")</f>
        <v> </v>
      </c>
      <c r="R24" s="2" t="str">
        <f aca="false">IF((E24="d"),H24," ")</f>
        <v> </v>
      </c>
      <c r="S24" s="2" t="str">
        <f aca="false">IF((E24="g"),H24," ")</f>
        <v> </v>
      </c>
      <c r="T24" s="2" t="str">
        <f aca="false">IF((E24="o"),H24," ")</f>
        <v> </v>
      </c>
      <c r="U24" s="2" t="str">
        <f aca="false">IF((E24="FS"),H24,"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H25" s="2" t="str">
        <f aca="false">IF((F25&lt;&gt;0),F25-G25,"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  <c r="O25" s="2" t="str">
        <f aca="false">IF((E25="a"),H25," ")</f>
        <v> </v>
      </c>
      <c r="P25" s="2" t="str">
        <f aca="false">IF((E25="b"),H25," ")</f>
        <v> </v>
      </c>
      <c r="Q25" s="2" t="str">
        <f aca="false">IF((E25="c"),H25," ")</f>
        <v> </v>
      </c>
      <c r="R25" s="2" t="str">
        <f aca="false">IF((E25="d"),H25," ")</f>
        <v> </v>
      </c>
      <c r="S25" s="2" t="str">
        <f aca="false">IF((E25="g"),H25," ")</f>
        <v> </v>
      </c>
      <c r="T25" s="2" t="str">
        <f aca="false">IF((E25="o"),H25," ")</f>
        <v> </v>
      </c>
      <c r="U25" s="2" t="str">
        <f aca="false">IF((E25="FS"),H25,"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H26" s="2" t="str">
        <f aca="false">IF((F26&lt;&gt;0),F26-G26,"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  <c r="O26" s="2" t="str">
        <f aca="false">IF((E26="a"),H26," ")</f>
        <v> </v>
      </c>
      <c r="P26" s="2" t="str">
        <f aca="false">IF((E26="b"),H26," ")</f>
        <v> </v>
      </c>
      <c r="Q26" s="2" t="str">
        <f aca="false">IF((E26="c"),H26," ")</f>
        <v> </v>
      </c>
      <c r="R26" s="2" t="str">
        <f aca="false">IF((E26="d"),H26," ")</f>
        <v> </v>
      </c>
      <c r="S26" s="2" t="str">
        <f aca="false">IF((E26="g"),H26," ")</f>
        <v> </v>
      </c>
      <c r="T26" s="2" t="str">
        <f aca="false">IF((E26="o"),H26," ")</f>
        <v> </v>
      </c>
      <c r="U26" s="2" t="str">
        <f aca="false">IF((E26="FS"),H26,"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H27" s="2" t="str">
        <f aca="false">IF((F27&lt;&gt;0),F27-G27,"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  <c r="O27" s="2" t="str">
        <f aca="false">IF((E27="a"),H27," ")</f>
        <v> </v>
      </c>
      <c r="P27" s="2" t="str">
        <f aca="false">IF((E27="b"),H27," ")</f>
        <v> </v>
      </c>
      <c r="Q27" s="2" t="str">
        <f aca="false">IF((E27="c"),H27," ")</f>
        <v> </v>
      </c>
      <c r="R27" s="2" t="str">
        <f aca="false">IF((E27="d"),H27," ")</f>
        <v> </v>
      </c>
      <c r="S27" s="2" t="str">
        <f aca="false">IF((E27="g"),H27," ")</f>
        <v> </v>
      </c>
      <c r="T27" s="2" t="str">
        <f aca="false">IF((E27="o"),H27," ")</f>
        <v> </v>
      </c>
      <c r="U27" s="2" t="str">
        <f aca="false">IF((E27="FS"),H27,"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H28" s="2" t="str">
        <f aca="false">IF((F28&lt;&gt;0),F28-G28,"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  <c r="O28" s="2" t="str">
        <f aca="false">IF((E28="a"),H28," ")</f>
        <v> </v>
      </c>
      <c r="P28" s="2" t="str">
        <f aca="false">IF((E28="b"),H28," ")</f>
        <v> </v>
      </c>
      <c r="Q28" s="2" t="str">
        <f aca="false">IF((E28="c"),H28," ")</f>
        <v> </v>
      </c>
      <c r="R28" s="2" t="str">
        <f aca="false">IF((E28="d"),H28," ")</f>
        <v> </v>
      </c>
      <c r="S28" s="2" t="str">
        <f aca="false">IF((E28="g"),H28," ")</f>
        <v> </v>
      </c>
      <c r="T28" s="2" t="str">
        <f aca="false">IF((E28="o"),H28," ")</f>
        <v> </v>
      </c>
      <c r="U28" s="2" t="str">
        <f aca="false">IF((E28="FS"),H28,"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H29" s="2" t="str">
        <f aca="false">IF((F29&lt;&gt;0),F29-G29,"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  <c r="O29" s="2" t="str">
        <f aca="false">IF((E29="a"),H29," ")</f>
        <v> </v>
      </c>
      <c r="P29" s="2" t="str">
        <f aca="false">IF((E29="b"),H29," ")</f>
        <v> </v>
      </c>
      <c r="Q29" s="2" t="str">
        <f aca="false">IF((E29="c"),H29," ")</f>
        <v> </v>
      </c>
      <c r="R29" s="2" t="str">
        <f aca="false">IF((E29="d"),H29," ")</f>
        <v> </v>
      </c>
      <c r="S29" s="2" t="str">
        <f aca="false">IF((E29="g"),H29," ")</f>
        <v> </v>
      </c>
      <c r="T29" s="2" t="str">
        <f aca="false">IF((E29="o"),H29," ")</f>
        <v> </v>
      </c>
      <c r="U29" s="2" t="str">
        <f aca="false">IF((E29="FS"),H29,"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H30" s="2" t="str">
        <f aca="false">IF((F30&lt;&gt;0),F30-G30,"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  <c r="O30" s="2" t="str">
        <f aca="false">IF((E30="a"),H30," ")</f>
        <v> </v>
      </c>
      <c r="P30" s="2" t="str">
        <f aca="false">IF((E30="b"),H30," ")</f>
        <v> </v>
      </c>
      <c r="Q30" s="2" t="str">
        <f aca="false">IF((E30="c"),H30," ")</f>
        <v> </v>
      </c>
      <c r="R30" s="2" t="str">
        <f aca="false">IF((E30="d"),H30," ")</f>
        <v> </v>
      </c>
      <c r="S30" s="2" t="str">
        <f aca="false">IF((E30="g"),H30," ")</f>
        <v> </v>
      </c>
      <c r="T30" s="2" t="str">
        <f aca="false">IF((E30="o"),H30," ")</f>
        <v> </v>
      </c>
      <c r="U30" s="2" t="str">
        <f aca="false">IF((E30="FS"),H30,"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H31" s="2" t="str">
        <f aca="false">IF((F31&lt;&gt;0),F31-G31,"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  <c r="O31" s="2" t="str">
        <f aca="false">IF((E31="a"),H31," ")</f>
        <v> </v>
      </c>
      <c r="P31" s="2" t="str">
        <f aca="false">IF((E31="b"),H31," ")</f>
        <v> </v>
      </c>
      <c r="Q31" s="2" t="str">
        <f aca="false">IF((E31="c"),H31," ")</f>
        <v> </v>
      </c>
      <c r="R31" s="2" t="str">
        <f aca="false">IF((E31="d"),H31," ")</f>
        <v> </v>
      </c>
      <c r="S31" s="2" t="str">
        <f aca="false">IF((E31="g"),H31," ")</f>
        <v> </v>
      </c>
      <c r="T31" s="2" t="str">
        <f aca="false">IF((E31="o"),H31," ")</f>
        <v> </v>
      </c>
      <c r="U31" s="2" t="str">
        <f aca="false">IF((E31="FS"),H31,"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H32" s="2" t="str">
        <f aca="false">IF((F32&lt;&gt;0),F32-G32,"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  <c r="O32" s="2" t="str">
        <f aca="false">IF((E32="a"),H32," ")</f>
        <v> </v>
      </c>
      <c r="P32" s="2" t="str">
        <f aca="false">IF((E32="b"),H32," ")</f>
        <v> </v>
      </c>
      <c r="Q32" s="2" t="str">
        <f aca="false">IF((E32="c"),H32," ")</f>
        <v> </v>
      </c>
      <c r="R32" s="2" t="str">
        <f aca="false">IF((E32="d"),H32," ")</f>
        <v> </v>
      </c>
      <c r="S32" s="2" t="str">
        <f aca="false">IF((E32="g"),H32," ")</f>
        <v> </v>
      </c>
      <c r="T32" s="2" t="str">
        <f aca="false">IF((E32="o"),H32," ")</f>
        <v> </v>
      </c>
      <c r="U32" s="2" t="str">
        <f aca="false">IF((E32="FS"),H32,"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H33" s="2" t="str">
        <f aca="false">IF((F33&lt;&gt;0),F33-G33,"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  <c r="O33" s="2" t="str">
        <f aca="false">IF((E33="a"),H33," ")</f>
        <v> </v>
      </c>
      <c r="P33" s="2" t="str">
        <f aca="false">IF((E33="b"),H33," ")</f>
        <v> </v>
      </c>
      <c r="Q33" s="2" t="str">
        <f aca="false">IF((E33="c"),H33," ")</f>
        <v> </v>
      </c>
      <c r="R33" s="2" t="str">
        <f aca="false">IF((E33="d"),H33," ")</f>
        <v> </v>
      </c>
      <c r="S33" s="2" t="str">
        <f aca="false">IF((E33="g"),H33," ")</f>
        <v> </v>
      </c>
      <c r="T33" s="2" t="str">
        <f aca="false">IF((E33="o"),H33," ")</f>
        <v> </v>
      </c>
      <c r="U33" s="2" t="str">
        <f aca="false">IF((E33="FS"),H33,"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H34" s="2" t="str">
        <f aca="false">IF((F34&lt;&gt;0),F34-G34,"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  <c r="O34" s="2" t="str">
        <f aca="false">IF((E34="a"),H34," ")</f>
        <v> </v>
      </c>
      <c r="P34" s="2" t="str">
        <f aca="false">IF((E34="b"),H34," ")</f>
        <v> </v>
      </c>
      <c r="Q34" s="2" t="str">
        <f aca="false">IF((E34="c"),H34," ")</f>
        <v> </v>
      </c>
      <c r="R34" s="2" t="str">
        <f aca="false">IF((E34="d"),H34," ")</f>
        <v> </v>
      </c>
      <c r="S34" s="2" t="str">
        <f aca="false">IF((E34="g"),H34," ")</f>
        <v> </v>
      </c>
      <c r="T34" s="2" t="str">
        <f aca="false">IF((E34="o"),H34," ")</f>
        <v> </v>
      </c>
      <c r="U34" s="2" t="str">
        <f aca="false">IF((E34="FS"),H34,"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H35" s="2" t="str">
        <f aca="false">IF((F35&lt;&gt;0),F35-G35,"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  <c r="O35" s="2" t="str">
        <f aca="false">IF((E35="a"),H35," ")</f>
        <v> </v>
      </c>
      <c r="P35" s="2" t="str">
        <f aca="false">IF((E35="b"),H35," ")</f>
        <v> </v>
      </c>
      <c r="Q35" s="2" t="str">
        <f aca="false">IF((E35="c"),H35," ")</f>
        <v> </v>
      </c>
      <c r="R35" s="2" t="str">
        <f aca="false">IF((E35="d"),H35," ")</f>
        <v> </v>
      </c>
      <c r="S35" s="2" t="str">
        <f aca="false">IF((E35="g"),H35," ")</f>
        <v> </v>
      </c>
      <c r="T35" s="2" t="str">
        <f aca="false">IF((E35="o"),H35," ")</f>
        <v> </v>
      </c>
      <c r="U35" s="2" t="str">
        <f aca="false">IF((E35="FS"),H35,"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H36" s="2" t="str">
        <f aca="false">IF((F36&lt;&gt;0),F36-G36,"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  <c r="O36" s="2" t="str">
        <f aca="false">IF((E36="a"),H36," ")</f>
        <v> </v>
      </c>
      <c r="P36" s="2" t="str">
        <f aca="false">IF((E36="b"),H36," ")</f>
        <v> </v>
      </c>
      <c r="Q36" s="2" t="str">
        <f aca="false">IF((E36="c"),H36," ")</f>
        <v> </v>
      </c>
      <c r="R36" s="2" t="str">
        <f aca="false">IF((E36="d"),H36," ")</f>
        <v> </v>
      </c>
      <c r="S36" s="2" t="str">
        <f aca="false">IF((E36="g"),H36," ")</f>
        <v> </v>
      </c>
      <c r="T36" s="2" t="str">
        <f aca="false">IF((E36="o"),H36," ")</f>
        <v> </v>
      </c>
      <c r="U36" s="2" t="str">
        <f aca="false">IF((E36="FS"),H36,"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H37" s="2" t="str">
        <f aca="false">IF((F37&lt;&gt;0),F37-G37,"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  <c r="O37" s="2" t="str">
        <f aca="false">IF((E37="a"),H37," ")</f>
        <v> </v>
      </c>
      <c r="P37" s="2" t="str">
        <f aca="false">IF((E37="b"),H37," ")</f>
        <v> </v>
      </c>
      <c r="Q37" s="2" t="str">
        <f aca="false">IF((E37="c"),H37," ")</f>
        <v> </v>
      </c>
      <c r="R37" s="2" t="str">
        <f aca="false">IF((E37="d"),H37," ")</f>
        <v> </v>
      </c>
      <c r="S37" s="2" t="str">
        <f aca="false">IF((E37="g"),H37," ")</f>
        <v> </v>
      </c>
      <c r="T37" s="2" t="str">
        <f aca="false">IF((E37="o"),H37," ")</f>
        <v> </v>
      </c>
      <c r="U37" s="2" t="str">
        <f aca="false">IF((E37="FS"),H37,"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H38" s="2" t="str">
        <f aca="false">IF((F38&lt;&gt;0),F38-G38,"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  <c r="O38" s="2" t="str">
        <f aca="false">IF((E38="a"),H38," ")</f>
        <v> </v>
      </c>
      <c r="P38" s="2" t="str">
        <f aca="false">IF((E38="b"),H38," ")</f>
        <v> </v>
      </c>
      <c r="Q38" s="2" t="str">
        <f aca="false">IF((E38="c"),H38," ")</f>
        <v> </v>
      </c>
      <c r="R38" s="2" t="str">
        <f aca="false">IF((E38="d"),H38," ")</f>
        <v> </v>
      </c>
      <c r="S38" s="2" t="str">
        <f aca="false">IF((E38="g"),H38," ")</f>
        <v> </v>
      </c>
      <c r="T38" s="2" t="str">
        <f aca="false">IF((E38="o"),H38," ")</f>
        <v> </v>
      </c>
      <c r="U38" s="2" t="str">
        <f aca="false">IF((E38="FS"),H38,"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H39" s="2" t="str">
        <f aca="false">IF((F39&lt;&gt;0),F39-G39,"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  <c r="O39" s="2" t="str">
        <f aca="false">IF((E39="a"),H39," ")</f>
        <v> </v>
      </c>
      <c r="P39" s="2" t="str">
        <f aca="false">IF((E39="b"),H39," ")</f>
        <v> </v>
      </c>
      <c r="Q39" s="2" t="str">
        <f aca="false">IF((E39="c"),H39," ")</f>
        <v> </v>
      </c>
      <c r="R39" s="2" t="str">
        <f aca="false">IF((E39="d"),H39," ")</f>
        <v> </v>
      </c>
      <c r="S39" s="2" t="str">
        <f aca="false">IF((E39="g"),H39," ")</f>
        <v> </v>
      </c>
      <c r="T39" s="2" t="str">
        <f aca="false">IF((E39="o"),H39," ")</f>
        <v> </v>
      </c>
      <c r="U39" s="2" t="str">
        <f aca="false">IF((E39="FS"),H39,"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H40" s="2" t="str">
        <f aca="false">IF((F40&lt;&gt;0),F40-G40,"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  <c r="O40" s="2" t="str">
        <f aca="false">IF((E40="a"),H40," ")</f>
        <v> </v>
      </c>
      <c r="P40" s="2" t="str">
        <f aca="false">IF((E40="b"),H40," ")</f>
        <v> </v>
      </c>
      <c r="Q40" s="2" t="str">
        <f aca="false">IF((E40="c"),H40," ")</f>
        <v> </v>
      </c>
      <c r="R40" s="2" t="str">
        <f aca="false">IF((E40="d"),H40," ")</f>
        <v> </v>
      </c>
      <c r="S40" s="2" t="str">
        <f aca="false">IF((E40="g"),H40," ")</f>
        <v> </v>
      </c>
      <c r="T40" s="2" t="str">
        <f aca="false">IF((E40="o"),H40," ")</f>
        <v> </v>
      </c>
      <c r="U40" s="2" t="str">
        <f aca="false">IF((E40="FS"),H40,"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H41" s="2" t="str">
        <f aca="false">IF((F41&lt;&gt;0),F41-G41,"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  <c r="O41" s="2" t="str">
        <f aca="false">IF((E41="a"),H41," ")</f>
        <v> </v>
      </c>
      <c r="P41" s="2" t="str">
        <f aca="false">IF((E41="b"),H41," ")</f>
        <v> </v>
      </c>
      <c r="Q41" s="2" t="str">
        <f aca="false">IF((E41="c"),H41," ")</f>
        <v> </v>
      </c>
      <c r="R41" s="2" t="str">
        <f aca="false">IF((E41="d"),H41," ")</f>
        <v> </v>
      </c>
      <c r="S41" s="2" t="str">
        <f aca="false">IF((E41="g"),H41," ")</f>
        <v> </v>
      </c>
      <c r="T41" s="2" t="str">
        <f aca="false">IF((E41="o"),H41," ")</f>
        <v> </v>
      </c>
      <c r="U41" s="2" t="str">
        <f aca="false">IF((E41="FS"),H41,"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H42" s="2" t="str">
        <f aca="false">IF((F42&lt;&gt;0),F42-G42,"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  <c r="O42" s="2" t="str">
        <f aca="false">IF((E42="a"),H42," ")</f>
        <v> </v>
      </c>
      <c r="P42" s="2" t="str">
        <f aca="false">IF((E42="b"),H42," ")</f>
        <v> </v>
      </c>
      <c r="Q42" s="2" t="str">
        <f aca="false">IF((E42="c"),H42," ")</f>
        <v> </v>
      </c>
      <c r="R42" s="2" t="str">
        <f aca="false">IF((E42="d"),H42," ")</f>
        <v> </v>
      </c>
      <c r="S42" s="2" t="str">
        <f aca="false">IF((E42="g"),H42," ")</f>
        <v> </v>
      </c>
      <c r="T42" s="2" t="str">
        <f aca="false">IF((E42="o"),H42," ")</f>
        <v> </v>
      </c>
      <c r="U42" s="2" t="str">
        <f aca="false">IF((E42="FS"),H42,"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H43" s="2" t="str">
        <f aca="false">IF((F43&lt;&gt;0),F43-G43,"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  <c r="O43" s="2" t="str">
        <f aca="false">IF((E43="a"),H43," ")</f>
        <v> </v>
      </c>
      <c r="P43" s="2" t="str">
        <f aca="false">IF((E43="b"),H43," ")</f>
        <v> </v>
      </c>
      <c r="Q43" s="2" t="str">
        <f aca="false">IF((E43="c"),H43," ")</f>
        <v> </v>
      </c>
      <c r="R43" s="2" t="str">
        <f aca="false">IF((E43="d"),H43," ")</f>
        <v> </v>
      </c>
      <c r="S43" s="2" t="str">
        <f aca="false">IF((E43="g"),H43," ")</f>
        <v> </v>
      </c>
      <c r="T43" s="2" t="str">
        <f aca="false">IF((E43="o"),H43," ")</f>
        <v> </v>
      </c>
      <c r="U43" s="2" t="str">
        <f aca="false">IF((E43="FS"),H43,"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H44" s="2" t="str">
        <f aca="false">IF((F44&lt;&gt;0),F44-G44,"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  <c r="O44" s="2" t="str">
        <f aca="false">IF((E44="a"),H44," ")</f>
        <v> </v>
      </c>
      <c r="P44" s="2" t="str">
        <f aca="false">IF((E44="b"),H44," ")</f>
        <v> </v>
      </c>
      <c r="Q44" s="2" t="str">
        <f aca="false">IF((E44="c"),H44," ")</f>
        <v> </v>
      </c>
      <c r="R44" s="2" t="str">
        <f aca="false">IF((E44="d"),H44," ")</f>
        <v> </v>
      </c>
      <c r="S44" s="2" t="str">
        <f aca="false">IF((E44="g"),H44," ")</f>
        <v> </v>
      </c>
      <c r="T44" s="2" t="str">
        <f aca="false">IF((E44="o"),H44," ")</f>
        <v> </v>
      </c>
      <c r="U44" s="2" t="str">
        <f aca="false">IF((E44="FS"),H44,"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H45" s="2" t="str">
        <f aca="false">IF((F45&lt;&gt;0),F45-G45,"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  <c r="O45" s="2" t="str">
        <f aca="false">IF((E45="a"),H45," ")</f>
        <v> </v>
      </c>
      <c r="P45" s="2" t="str">
        <f aca="false">IF((E45="b"),H45," ")</f>
        <v> </v>
      </c>
      <c r="Q45" s="2" t="str">
        <f aca="false">IF((E45="c"),H45," ")</f>
        <v> </v>
      </c>
      <c r="R45" s="2" t="str">
        <f aca="false">IF((E45="d"),H45," ")</f>
        <v> </v>
      </c>
      <c r="S45" s="2" t="str">
        <f aca="false">IF((E45="g"),H45," ")</f>
        <v> </v>
      </c>
      <c r="T45" s="2" t="str">
        <f aca="false">IF((E45="o"),H45," ")</f>
        <v> </v>
      </c>
      <c r="U45" s="2" t="str">
        <f aca="false">IF((E45="FS"),H45,"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H46" s="2" t="str">
        <f aca="false">IF((F46&lt;&gt;0),F46-G46,"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  <c r="O46" s="2" t="str">
        <f aca="false">IF((E46="a"),H46," ")</f>
        <v> </v>
      </c>
      <c r="P46" s="2" t="str">
        <f aca="false">IF((E46="b"),H46," ")</f>
        <v> </v>
      </c>
      <c r="Q46" s="2" t="str">
        <f aca="false">IF((E46="c"),H46," ")</f>
        <v> </v>
      </c>
      <c r="R46" s="2" t="str">
        <f aca="false">IF((E46="d"),H46," ")</f>
        <v> </v>
      </c>
      <c r="S46" s="2" t="str">
        <f aca="false">IF((E46="g"),H46," ")</f>
        <v> </v>
      </c>
      <c r="T46" s="2" t="str">
        <f aca="false">IF((E46="o"),H46," ")</f>
        <v> </v>
      </c>
      <c r="U46" s="2" t="str">
        <f aca="false">IF((E46="FS"),H46,"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H47" s="2" t="str">
        <f aca="false">IF((F47&lt;&gt;0),F47-G47,"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  <c r="O47" s="2" t="str">
        <f aca="false">IF((E47="a"),H47," ")</f>
        <v> </v>
      </c>
      <c r="P47" s="2" t="str">
        <f aca="false">IF((E47="b"),H47," ")</f>
        <v> </v>
      </c>
      <c r="Q47" s="2" t="str">
        <f aca="false">IF((E47="c"),H47," ")</f>
        <v> </v>
      </c>
      <c r="R47" s="2" t="str">
        <f aca="false">IF((E47="d"),H47," ")</f>
        <v> </v>
      </c>
      <c r="S47" s="2" t="str">
        <f aca="false">IF((E47="g"),H47," ")</f>
        <v> </v>
      </c>
      <c r="T47" s="2" t="str">
        <f aca="false">IF((E47="o"),H47," ")</f>
        <v> </v>
      </c>
      <c r="U47" s="2" t="str">
        <f aca="false">IF((E47="FS"),H47,"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H48" s="2" t="str">
        <f aca="false">IF((F48&lt;&gt;0),F48-G48,"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  <c r="O48" s="2" t="str">
        <f aca="false">IF((E48="a"),H48," ")</f>
        <v> </v>
      </c>
      <c r="P48" s="2" t="str">
        <f aca="false">IF((E48="b"),H48," ")</f>
        <v> </v>
      </c>
      <c r="Q48" s="2" t="str">
        <f aca="false">IF((E48="c"),H48," ")</f>
        <v> </v>
      </c>
      <c r="R48" s="2" t="str">
        <f aca="false">IF((E48="d"),H48," ")</f>
        <v> </v>
      </c>
      <c r="S48" s="2" t="str">
        <f aca="false">IF((E48="g"),H48," ")</f>
        <v> </v>
      </c>
      <c r="T48" s="2" t="str">
        <f aca="false">IF((E48="o"),H48," ")</f>
        <v> </v>
      </c>
      <c r="U48" s="2" t="str">
        <f aca="false">IF((E48="FS"),H48,"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H49" s="2" t="str">
        <f aca="false">IF((F49&lt;&gt;0),F49-G49,"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  <c r="O49" s="2" t="str">
        <f aca="false">IF((E49="a"),H49," ")</f>
        <v> </v>
      </c>
      <c r="P49" s="2" t="str">
        <f aca="false">IF((E49="b"),H49," ")</f>
        <v> </v>
      </c>
      <c r="Q49" s="2" t="str">
        <f aca="false">IF((E49="c"),H49," ")</f>
        <v> </v>
      </c>
      <c r="R49" s="2" t="str">
        <f aca="false">IF((E49="d"),H49," ")</f>
        <v> </v>
      </c>
      <c r="S49" s="2" t="str">
        <f aca="false">IF((E49="g"),H49," ")</f>
        <v> </v>
      </c>
      <c r="T49" s="2" t="str">
        <f aca="false">IF((E49="o"),H49," ")</f>
        <v> </v>
      </c>
      <c r="U49" s="2" t="str">
        <f aca="false">IF((E49="FS"),H49,"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H50" s="2" t="str">
        <f aca="false">IF((F50&lt;&gt;0),F50-G50,"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  <c r="O50" s="2" t="str">
        <f aca="false">IF((E50="a"),H50," ")</f>
        <v> </v>
      </c>
      <c r="P50" s="2" t="str">
        <f aca="false">IF((E50="b"),H50," ")</f>
        <v> </v>
      </c>
      <c r="Q50" s="2" t="str">
        <f aca="false">IF((E50="c"),H50," ")</f>
        <v> </v>
      </c>
      <c r="R50" s="2" t="str">
        <f aca="false">IF((E50="d"),H50," ")</f>
        <v> </v>
      </c>
      <c r="S50" s="2" t="str">
        <f aca="false">IF((E50="g"),H50," ")</f>
        <v> </v>
      </c>
      <c r="T50" s="2" t="str">
        <f aca="false">IF((E50="o"),H50," ")</f>
        <v> </v>
      </c>
      <c r="U50" s="2" t="str">
        <f aca="false">IF((E50="FS"),H50,"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H51" s="2" t="str">
        <f aca="false">IF((F51&lt;&gt;0),F51-G51,"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  <c r="O51" s="2" t="str">
        <f aca="false">IF((E51="a"),H51," ")</f>
        <v> </v>
      </c>
      <c r="P51" s="2" t="str">
        <f aca="false">IF((E51="b"),H51," ")</f>
        <v> </v>
      </c>
      <c r="Q51" s="2" t="str">
        <f aca="false">IF((E51="c"),H51," ")</f>
        <v> </v>
      </c>
      <c r="R51" s="2" t="str">
        <f aca="false">IF((E51="d"),H51," ")</f>
        <v> </v>
      </c>
      <c r="S51" s="2" t="str">
        <f aca="false">IF((E51="g"),H51," ")</f>
        <v> </v>
      </c>
      <c r="T51" s="2" t="str">
        <f aca="false">IF((E51="o"),H51," ")</f>
        <v> </v>
      </c>
      <c r="U51" s="2" t="str">
        <f aca="false">IF((E51="FS"),H51,"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H52" s="2" t="str">
        <f aca="false">IF((F52&lt;&gt;0),F52-G52,"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  <c r="O52" s="2" t="str">
        <f aca="false">IF((E52="a"),H52," ")</f>
        <v> </v>
      </c>
      <c r="P52" s="2" t="str">
        <f aca="false">IF((E52="b"),H52," ")</f>
        <v> </v>
      </c>
      <c r="Q52" s="2" t="str">
        <f aca="false">IF((E52="c"),H52," ")</f>
        <v> </v>
      </c>
      <c r="R52" s="2" t="str">
        <f aca="false">IF((E52="d"),H52," ")</f>
        <v> </v>
      </c>
      <c r="S52" s="2" t="str">
        <f aca="false">IF((E52="g"),H52," ")</f>
        <v> </v>
      </c>
      <c r="T52" s="2" t="str">
        <f aca="false">IF((E52="o"),H52," ")</f>
        <v> </v>
      </c>
      <c r="U52" s="2" t="str">
        <f aca="false">IF((E52="FS"),H52,"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H53" s="2" t="str">
        <f aca="false">IF((F53&lt;&gt;0),F53-G53,"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  <c r="O53" s="2" t="str">
        <f aca="false">IF((E53="a"),H53," ")</f>
        <v> </v>
      </c>
      <c r="P53" s="2" t="str">
        <f aca="false">IF((E53="b"),H53," ")</f>
        <v> </v>
      </c>
      <c r="Q53" s="2" t="str">
        <f aca="false">IF((E53="c"),H53," ")</f>
        <v> </v>
      </c>
      <c r="R53" s="2" t="str">
        <f aca="false">IF((E53="d"),H53," ")</f>
        <v> </v>
      </c>
      <c r="S53" s="2" t="str">
        <f aca="false">IF((E53="g"),H53," ")</f>
        <v> </v>
      </c>
      <c r="T53" s="2" t="str">
        <f aca="false">IF((E53="o"),H53," ")</f>
        <v> </v>
      </c>
      <c r="U53" s="2" t="str">
        <f aca="false">IF((E53="FS"),H53,"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H54" s="2" t="str">
        <f aca="false">IF((F54&lt;&gt;0),F54-G54,"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  <c r="O54" s="2" t="str">
        <f aca="false">IF((E54="a"),H54," ")</f>
        <v> </v>
      </c>
      <c r="P54" s="2" t="str">
        <f aca="false">IF((E54="b"),H54," ")</f>
        <v> </v>
      </c>
      <c r="Q54" s="2" t="str">
        <f aca="false">IF((E54="c"),H54," ")</f>
        <v> </v>
      </c>
      <c r="R54" s="2" t="str">
        <f aca="false">IF((E54="d"),H54," ")</f>
        <v> </v>
      </c>
      <c r="S54" s="2" t="str">
        <f aca="false">IF((E54="g"),H54," ")</f>
        <v> </v>
      </c>
      <c r="T54" s="2" t="str">
        <f aca="false">IF((E54="o"),H54," ")</f>
        <v> </v>
      </c>
      <c r="U54" s="2" t="str">
        <f aca="false">IF((E54="FS"),H54,"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H55" s="2" t="str">
        <f aca="false">IF((F55&lt;&gt;0),F55-G55,"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  <c r="O55" s="2" t="str">
        <f aca="false">IF((E55="a"),H55," ")</f>
        <v> </v>
      </c>
      <c r="P55" s="2" t="str">
        <f aca="false">IF((E55="b"),H55," ")</f>
        <v> </v>
      </c>
      <c r="Q55" s="2" t="str">
        <f aca="false">IF((E55="c"),H55," ")</f>
        <v> </v>
      </c>
      <c r="R55" s="2" t="str">
        <f aca="false">IF((E55="d"),H55," ")</f>
        <v> </v>
      </c>
      <c r="S55" s="2" t="str">
        <f aca="false">IF((E55="g"),H55," ")</f>
        <v> </v>
      </c>
      <c r="T55" s="2" t="str">
        <f aca="false">IF((E55="o"),H55," ")</f>
        <v> </v>
      </c>
      <c r="U55" s="2" t="str">
        <f aca="false">IF((E55="FS"),H55,"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H56" s="2" t="str">
        <f aca="false">IF((F56&lt;&gt;0),F56-G56,"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  <c r="O56" s="2" t="str">
        <f aca="false">IF((E56="a"),H56," ")</f>
        <v> </v>
      </c>
      <c r="P56" s="2" t="str">
        <f aca="false">IF((E56="b"),H56," ")</f>
        <v> </v>
      </c>
      <c r="Q56" s="2" t="str">
        <f aca="false">IF((E56="c"),H56," ")</f>
        <v> </v>
      </c>
      <c r="R56" s="2" t="str">
        <f aca="false">IF((E56="d"),H56," ")</f>
        <v> </v>
      </c>
      <c r="S56" s="2" t="str">
        <f aca="false">IF((E56="g"),H56," ")</f>
        <v> </v>
      </c>
      <c r="T56" s="2" t="str">
        <f aca="false">IF((E56="o"),H56," ")</f>
        <v> </v>
      </c>
      <c r="U56" s="2" t="str">
        <f aca="false">IF((E56="FS"),H56,"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H57" s="2" t="str">
        <f aca="false">IF((F57&lt;&gt;0),F57-G57,"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  <c r="O57" s="2" t="str">
        <f aca="false">IF((E57="a"),H57," ")</f>
        <v> </v>
      </c>
      <c r="P57" s="2" t="str">
        <f aca="false">IF((E57="b"),H57," ")</f>
        <v> </v>
      </c>
      <c r="Q57" s="2" t="str">
        <f aca="false">IF((E57="c"),H57," ")</f>
        <v> </v>
      </c>
      <c r="R57" s="2" t="str">
        <f aca="false">IF((E57="d"),H57," ")</f>
        <v> </v>
      </c>
      <c r="S57" s="2" t="str">
        <f aca="false">IF((E57="g"),H57," ")</f>
        <v> </v>
      </c>
      <c r="T57" s="2" t="str">
        <f aca="false">IF((E57="o"),H57," ")</f>
        <v> </v>
      </c>
      <c r="U57" s="2" t="str">
        <f aca="false">IF((E57="FS"),H57,"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H58" s="2" t="str">
        <f aca="false">IF((F58&lt;&gt;0),F58-G58,"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  <c r="O58" s="2" t="str">
        <f aca="false">IF((E58="a"),H58," ")</f>
        <v> </v>
      </c>
      <c r="P58" s="2" t="str">
        <f aca="false">IF((E58="b"),H58," ")</f>
        <v> </v>
      </c>
      <c r="Q58" s="2" t="str">
        <f aca="false">IF((E58="c"),H58," ")</f>
        <v> </v>
      </c>
      <c r="R58" s="2" t="str">
        <f aca="false">IF((E58="d"),H58," ")</f>
        <v> </v>
      </c>
      <c r="S58" s="2" t="str">
        <f aca="false">IF((E58="g"),H58," ")</f>
        <v> </v>
      </c>
      <c r="T58" s="2" t="str">
        <f aca="false">IF((E58="o"),H58," ")</f>
        <v> </v>
      </c>
      <c r="U58" s="2" t="str">
        <f aca="false">IF((E58="FS"),H58,"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H59" s="2" t="str">
        <f aca="false">IF((F59&lt;&gt;0),F59-G59,"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  <c r="O59" s="2" t="str">
        <f aca="false">IF((E59="a"),H59," ")</f>
        <v> </v>
      </c>
      <c r="P59" s="2" t="str">
        <f aca="false">IF((E59="b"),H59," ")</f>
        <v> </v>
      </c>
      <c r="Q59" s="2" t="str">
        <f aca="false">IF((E59="c"),H59," ")</f>
        <v> </v>
      </c>
      <c r="R59" s="2" t="str">
        <f aca="false">IF((E59="d"),H59," ")</f>
        <v> </v>
      </c>
      <c r="S59" s="2" t="str">
        <f aca="false">IF((E59="g"),H59," ")</f>
        <v> </v>
      </c>
      <c r="T59" s="2" t="str">
        <f aca="false">IF((E59="o"),H59," ")</f>
        <v> </v>
      </c>
      <c r="U59" s="2" t="str">
        <f aca="false">IF((E59="FS"),H59,"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H60" s="2" t="str">
        <f aca="false">IF((F60&lt;&gt;0),F60-G60,"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  <c r="O60" s="2" t="str">
        <f aca="false">IF((E60="a"),H60," ")</f>
        <v> </v>
      </c>
      <c r="P60" s="2" t="str">
        <f aca="false">IF((E60="b"),H60," ")</f>
        <v> </v>
      </c>
      <c r="Q60" s="2" t="str">
        <f aca="false">IF((E60="c"),H60," ")</f>
        <v> </v>
      </c>
      <c r="R60" s="2" t="str">
        <f aca="false">IF((E60="d"),H60," ")</f>
        <v> </v>
      </c>
      <c r="S60" s="2" t="str">
        <f aca="false">IF((E60="g"),H60," ")</f>
        <v> </v>
      </c>
      <c r="T60" s="2" t="str">
        <f aca="false">IF((E60="o"),H60," ")</f>
        <v> </v>
      </c>
      <c r="U60" s="2" t="str">
        <f aca="false">IF((E60="FS"),H60,"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H61" s="2" t="str">
        <f aca="false">IF((F61&lt;&gt;0),F61-G61,"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  <c r="O61" s="2" t="str">
        <f aca="false">IF((E61="a"),H61," ")</f>
        <v> </v>
      </c>
      <c r="P61" s="2" t="str">
        <f aca="false">IF((E61="b"),H61," ")</f>
        <v> </v>
      </c>
      <c r="Q61" s="2" t="str">
        <f aca="false">IF((E61="c"),H61," ")</f>
        <v> </v>
      </c>
      <c r="R61" s="2" t="str">
        <f aca="false">IF((E61="d"),H61," ")</f>
        <v> </v>
      </c>
      <c r="S61" s="2" t="str">
        <f aca="false">IF((E61="g"),H61," ")</f>
        <v> </v>
      </c>
      <c r="T61" s="2" t="str">
        <f aca="false">IF((E61="o"),H61," ")</f>
        <v> </v>
      </c>
      <c r="U61" s="2" t="str">
        <f aca="false">IF((E61="FS"),H61,"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H62" s="2" t="str">
        <f aca="false">IF((F62&lt;&gt;0),F62-G62,"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  <c r="O62" s="2" t="str">
        <f aca="false">IF((E62="a"),H62," ")</f>
        <v> </v>
      </c>
      <c r="P62" s="2" t="str">
        <f aca="false">IF((E62="b"),H62," ")</f>
        <v> </v>
      </c>
      <c r="Q62" s="2" t="str">
        <f aca="false">IF((E62="c"),H62," ")</f>
        <v> </v>
      </c>
      <c r="R62" s="2" t="str">
        <f aca="false">IF((E62="d"),H62," ")</f>
        <v> </v>
      </c>
      <c r="S62" s="2" t="str">
        <f aca="false">IF((E62="g"),H62," ")</f>
        <v> </v>
      </c>
      <c r="T62" s="2" t="str">
        <f aca="false">IF((E62="o"),H62," ")</f>
        <v> </v>
      </c>
      <c r="U62" s="2" t="str">
        <f aca="false">IF((E62="FS"),H62,"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H63" s="2" t="str">
        <f aca="false">IF((F63&lt;&gt;0),F63-G63,"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  <c r="O63" s="2" t="str">
        <f aca="false">IF((E63="a"),H63," ")</f>
        <v> </v>
      </c>
      <c r="P63" s="2" t="str">
        <f aca="false">IF((E63="b"),H63," ")</f>
        <v> </v>
      </c>
      <c r="Q63" s="2" t="str">
        <f aca="false">IF((E63="c"),H63," ")</f>
        <v> </v>
      </c>
      <c r="R63" s="2" t="str">
        <f aca="false">IF((E63="d"),H63," ")</f>
        <v> </v>
      </c>
      <c r="S63" s="2" t="str">
        <f aca="false">IF((E63="g"),H63," ")</f>
        <v> </v>
      </c>
      <c r="T63" s="2" t="str">
        <f aca="false">IF((E63="o"),H63," ")</f>
        <v> </v>
      </c>
      <c r="U63" s="2" t="str">
        <f aca="false">IF((E63="FS"),H63,"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H64" s="2" t="str">
        <f aca="false">IF((F64&lt;&gt;0),F64-G64,"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  <c r="O64" s="2" t="str">
        <f aca="false">IF((E64="a"),H64," ")</f>
        <v> </v>
      </c>
      <c r="P64" s="2" t="str">
        <f aca="false">IF((E64="b"),H64," ")</f>
        <v> </v>
      </c>
      <c r="Q64" s="2" t="str">
        <f aca="false">IF((E64="c"),H64," ")</f>
        <v> </v>
      </c>
      <c r="R64" s="2" t="str">
        <f aca="false">IF((E64="d"),H64," ")</f>
        <v> </v>
      </c>
      <c r="S64" s="2" t="str">
        <f aca="false">IF((E64="g"),H64," ")</f>
        <v> </v>
      </c>
      <c r="T64" s="2" t="str">
        <f aca="false">IF((E64="o"),H64," ")</f>
        <v> </v>
      </c>
      <c r="U64" s="2" t="str">
        <f aca="false">IF((E64="FS"),H64,"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H65" s="2" t="str">
        <f aca="false">IF((F65&lt;&gt;0),F65-G65,"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  <c r="O65" s="2" t="str">
        <f aca="false">IF((E65="a"),H65," ")</f>
        <v> </v>
      </c>
      <c r="P65" s="2" t="str">
        <f aca="false">IF((E65="b"),H65," ")</f>
        <v> </v>
      </c>
      <c r="Q65" s="2" t="str">
        <f aca="false">IF((E65="c"),H65," ")</f>
        <v> </v>
      </c>
      <c r="R65" s="2" t="str">
        <f aca="false">IF((E65="d"),H65," ")</f>
        <v> </v>
      </c>
      <c r="S65" s="2" t="str">
        <f aca="false">IF((E65="g"),H65," ")</f>
        <v> </v>
      </c>
      <c r="T65" s="2" t="str">
        <f aca="false">IF((E65="o"),H65," ")</f>
        <v> </v>
      </c>
      <c r="U65" s="2" t="str">
        <f aca="false">IF((E65="FS"),H65,"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H66" s="2" t="str">
        <f aca="false">IF((F66&lt;&gt;0),F66-G66,"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  <c r="O66" s="2" t="str">
        <f aca="false">IF((E66="a"),H66," ")</f>
        <v> </v>
      </c>
      <c r="P66" s="2" t="str">
        <f aca="false">IF((E66="b"),H66," ")</f>
        <v> </v>
      </c>
      <c r="Q66" s="2" t="str">
        <f aca="false">IF((E66="c"),H66," ")</f>
        <v> </v>
      </c>
      <c r="R66" s="2" t="str">
        <f aca="false">IF((E66="d"),H66," ")</f>
        <v> </v>
      </c>
      <c r="S66" s="2" t="str">
        <f aca="false">IF((E66="g"),H66," ")</f>
        <v> </v>
      </c>
      <c r="T66" s="2" t="str">
        <f aca="false">IF((E66="o"),H66," ")</f>
        <v> </v>
      </c>
      <c r="U66" s="2" t="str">
        <f aca="false">IF((E66="FS"),H66,"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H67" s="2" t="str">
        <f aca="false">IF((F67&lt;&gt;0),F67-G67,"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  <c r="O67" s="2" t="str">
        <f aca="false">IF((E67="a"),H67," ")</f>
        <v> </v>
      </c>
      <c r="P67" s="2" t="str">
        <f aca="false">IF((E67="b"),H67," ")</f>
        <v> </v>
      </c>
      <c r="Q67" s="2" t="str">
        <f aca="false">IF((E67="c"),H67," ")</f>
        <v> </v>
      </c>
      <c r="R67" s="2" t="str">
        <f aca="false">IF((E67="d"),H67," ")</f>
        <v> </v>
      </c>
      <c r="S67" s="2" t="str">
        <f aca="false">IF((E67="g"),H67," ")</f>
        <v> </v>
      </c>
      <c r="T67" s="2" t="str">
        <f aca="false">IF((E67="o"),H67," ")</f>
        <v> </v>
      </c>
      <c r="U67" s="2" t="str">
        <f aca="false">IF((E67="FS"),H67,"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H68" s="2" t="str">
        <f aca="false">IF((F68&lt;&gt;0),F68-G68,"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  <c r="O68" s="2" t="str">
        <f aca="false">IF((E68="a"),H68," ")</f>
        <v> </v>
      </c>
      <c r="P68" s="2" t="str">
        <f aca="false">IF((E68="b"),H68," ")</f>
        <v> </v>
      </c>
      <c r="Q68" s="2" t="str">
        <f aca="false">IF((E68="c"),H68," ")</f>
        <v> </v>
      </c>
      <c r="R68" s="2" t="str">
        <f aca="false">IF((E68="d"),H68," ")</f>
        <v> </v>
      </c>
      <c r="S68" s="2" t="str">
        <f aca="false">IF((E68="g"),H68," ")</f>
        <v> </v>
      </c>
      <c r="T68" s="2" t="str">
        <f aca="false">IF((E68="o"),H68," ")</f>
        <v> </v>
      </c>
      <c r="U68" s="2" t="str">
        <f aca="false">IF((E68="FS"),H68,"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  <c r="O69" s="2" t="str">
        <f aca="false">IF((E69="a"),H69," ")</f>
        <v> </v>
      </c>
      <c r="P69" s="2" t="str">
        <f aca="false">IF((E69="b"),H69," ")</f>
        <v> </v>
      </c>
      <c r="Q69" s="2" t="str">
        <f aca="false">IF((E69="c"),H69," ")</f>
        <v> </v>
      </c>
      <c r="R69" s="2" t="str">
        <f aca="false">IF((E69="d"),H69," ")</f>
        <v> </v>
      </c>
      <c r="S69" s="2" t="str">
        <f aca="false">IF((E69="g"),H69," ")</f>
        <v> </v>
      </c>
      <c r="T69" s="2" t="str">
        <f aca="false">IF((E69="o"),H69," ")</f>
        <v> </v>
      </c>
      <c r="U69" s="2" t="str">
        <f aca="false">IF((E69="FS"),H69," ")</f>
        <v> </v>
      </c>
    </row>
    <row r="70" customFormat="false" ht="12" hidden="false" customHeight="false" outlineLevel="0" collapsed="false">
      <c r="E70" s="4" t="str">
        <f aca="false">IF((F70&lt;&gt;0),"Enter Letter"," ")</f>
        <v> </v>
      </c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  <c r="O70" s="2" t="str">
        <f aca="false">IF((E70="a"),H70," ")</f>
        <v> </v>
      </c>
      <c r="P70" s="2" t="str">
        <f aca="false">IF((E70="b"),H70," ")</f>
        <v> </v>
      </c>
      <c r="Q70" s="2" t="str">
        <f aca="false">IF((E70="c"),H70," ")</f>
        <v> </v>
      </c>
      <c r="R70" s="2" t="str">
        <f aca="false">IF((E70="d"),H70," ")</f>
        <v> </v>
      </c>
      <c r="S70" s="2" t="str">
        <f aca="false">IF((E70="g"),H70," ")</f>
        <v> </v>
      </c>
      <c r="T70" s="2" t="str">
        <f aca="false">IF((E70="o"),H70," ")</f>
        <v> </v>
      </c>
      <c r="U70" s="2" t="str">
        <f aca="false">IF((E70="FS"),H70," ")</f>
        <v> </v>
      </c>
    </row>
    <row r="71" customFormat="false" ht="12" hidden="false" customHeight="false" outlineLevel="0" collapsed="false">
      <c r="E71" s="4" t="str">
        <f aca="false">IF((F71&lt;&gt;0),"Enter Letter"," ")</f>
        <v> </v>
      </c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  <c r="O71" s="2" t="str">
        <f aca="false">IF((E71="a"),H71," ")</f>
        <v> </v>
      </c>
      <c r="P71" s="2" t="str">
        <f aca="false">IF((E71="b"),H71," ")</f>
        <v> </v>
      </c>
      <c r="Q71" s="2" t="str">
        <f aca="false">IF((E71="c"),H71," ")</f>
        <v> </v>
      </c>
      <c r="R71" s="2" t="str">
        <f aca="false">IF((E71="d"),H71," ")</f>
        <v> </v>
      </c>
      <c r="S71" s="2" t="str">
        <f aca="false">IF((E71="g"),H71," ")</f>
        <v> </v>
      </c>
      <c r="T71" s="2" t="str">
        <f aca="false">IF((E71="o"),H71," ")</f>
        <v> </v>
      </c>
      <c r="U71" s="2" t="str">
        <f aca="false">IF((E71="FS"),H71," ")</f>
        <v> </v>
      </c>
    </row>
    <row r="72" customFormat="false" ht="12" hidden="false" customHeight="false" outlineLevel="0" collapsed="false">
      <c r="E72" s="4" t="str">
        <f aca="false">IF((F72&lt;&gt;0),"Enter Letter"," ")</f>
        <v> </v>
      </c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  <c r="O72" s="2" t="str">
        <f aca="false">IF((E72="a"),H72," ")</f>
        <v> </v>
      </c>
      <c r="P72" s="2" t="str">
        <f aca="false">IF((E72="b"),H72," ")</f>
        <v> </v>
      </c>
      <c r="Q72" s="2" t="str">
        <f aca="false">IF((E72="c"),H72," ")</f>
        <v> </v>
      </c>
      <c r="R72" s="2" t="str">
        <f aca="false">IF((E72="d"),H72," ")</f>
        <v> </v>
      </c>
      <c r="S72" s="2" t="str">
        <f aca="false">IF((E72="g"),H72," ")</f>
        <v> </v>
      </c>
      <c r="T72" s="2" t="str">
        <f aca="false">IF((E72="o"),H72," ")</f>
        <v> </v>
      </c>
      <c r="U72" s="2" t="str">
        <f aca="false">IF((E72="FS"),H72," ")</f>
        <v> </v>
      </c>
    </row>
    <row r="73" customFormat="false" ht="12" hidden="false" customHeight="false" outlineLevel="0" collapsed="false">
      <c r="E73" s="4" t="str">
        <f aca="false">IF((F73&lt;&gt;0),"Enter Letter"," ")</f>
        <v> </v>
      </c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  <c r="O73" s="2" t="str">
        <f aca="false">IF((E73="a"),H73," ")</f>
        <v> </v>
      </c>
      <c r="P73" s="2" t="str">
        <f aca="false">IF((E73="b"),H73," ")</f>
        <v> </v>
      </c>
      <c r="Q73" s="2" t="str">
        <f aca="false">IF((E73="c"),H73," ")</f>
        <v> </v>
      </c>
      <c r="R73" s="2" t="str">
        <f aca="false">IF((E73="d"),H73," ")</f>
        <v> </v>
      </c>
      <c r="S73" s="2" t="str">
        <f aca="false">IF((E73="g"),H73," ")</f>
        <v> </v>
      </c>
      <c r="T73" s="2" t="str">
        <f aca="false">IF((E73="o"),H73," ")</f>
        <v> </v>
      </c>
      <c r="U73" s="2" t="str">
        <f aca="false">IF((E73="FS"),H73," ")</f>
        <v> </v>
      </c>
    </row>
    <row r="74" customFormat="false" ht="12" hidden="false" customHeight="false" outlineLevel="0" collapsed="false">
      <c r="E74" s="4" t="str">
        <f aca="false">IF((F74&lt;&gt;0),"Enter Letter"," ")</f>
        <v> </v>
      </c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  <c r="O74" s="2" t="str">
        <f aca="false">IF((E74="a"),H74," ")</f>
        <v> </v>
      </c>
      <c r="P74" s="2" t="str">
        <f aca="false">IF((E74="b"),H74," ")</f>
        <v> </v>
      </c>
      <c r="Q74" s="2" t="str">
        <f aca="false">IF((E74="c"),H74," ")</f>
        <v> </v>
      </c>
      <c r="R74" s="2" t="str">
        <f aca="false">IF((E74="d"),H74," ")</f>
        <v> </v>
      </c>
      <c r="S74" s="2" t="str">
        <f aca="false">IF((E74="g"),H74," ")</f>
        <v> </v>
      </c>
      <c r="T74" s="2" t="str">
        <f aca="false">IF((E74="o"),H74," ")</f>
        <v> </v>
      </c>
      <c r="U74" s="2" t="str">
        <f aca="false">IF((E74="FS"),H74," ")</f>
        <v> </v>
      </c>
    </row>
    <row r="75" customFormat="false" ht="12" hidden="false" customHeight="false" outlineLevel="0" collapsed="false">
      <c r="E75" s="4" t="str">
        <f aca="false">IF((F75&lt;&gt;0),"Enter Letter"," ")</f>
        <v> </v>
      </c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  <c r="O75" s="2" t="str">
        <f aca="false">IF((E75="a"),H75," ")</f>
        <v> </v>
      </c>
      <c r="P75" s="2" t="str">
        <f aca="false">IF((E75="b"),H75," ")</f>
        <v> </v>
      </c>
      <c r="Q75" s="2" t="str">
        <f aca="false">IF((E75="c"),H75," ")</f>
        <v> </v>
      </c>
      <c r="R75" s="2" t="str">
        <f aca="false">IF((E75="d"),H75," ")</f>
        <v> </v>
      </c>
      <c r="S75" s="2" t="str">
        <f aca="false">IF((E75="g"),H75," ")</f>
        <v> </v>
      </c>
      <c r="T75" s="2" t="str">
        <f aca="false">IF((E75="o"),H75," ")</f>
        <v> </v>
      </c>
      <c r="U75" s="2" t="str">
        <f aca="false">IF((E75="FS"),H75," ")</f>
        <v> </v>
      </c>
    </row>
    <row r="76" customFormat="false" ht="12" hidden="false" customHeight="false" outlineLevel="0" collapsed="false">
      <c r="E76" s="4" t="str">
        <f aca="false">IF((F76&lt;&gt;0),"Enter Letter"," ")</f>
        <v> </v>
      </c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  <c r="O76" s="2" t="str">
        <f aca="false">IF((E76="a"),H76," ")</f>
        <v> </v>
      </c>
      <c r="P76" s="2" t="str">
        <f aca="false">IF((E76="b"),H76," ")</f>
        <v> </v>
      </c>
      <c r="Q76" s="2" t="str">
        <f aca="false">IF((E76="c"),H76," ")</f>
        <v> </v>
      </c>
      <c r="R76" s="2" t="str">
        <f aca="false">IF((E76="d"),H76," ")</f>
        <v> </v>
      </c>
      <c r="S76" s="2" t="str">
        <f aca="false">IF((E76="g"),H76," ")</f>
        <v> </v>
      </c>
      <c r="T76" s="2" t="str">
        <f aca="false">IF((E76="o"),H76," ")</f>
        <v> </v>
      </c>
      <c r="U76" s="2" t="str">
        <f aca="false">IF((E76="FS"),H76," ")</f>
        <v> </v>
      </c>
    </row>
    <row r="77" customFormat="false" ht="12" hidden="false" customHeight="false" outlineLevel="0" collapsed="false">
      <c r="E77" s="4" t="str">
        <f aca="false">IF((F77&lt;&gt;0),"Enter Letter"," ")</f>
        <v> </v>
      </c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  <c r="O77" s="2" t="str">
        <f aca="false">IF((E77="a"),H77," ")</f>
        <v> </v>
      </c>
      <c r="P77" s="2" t="str">
        <f aca="false">IF((E77="b"),H77," ")</f>
        <v> </v>
      </c>
      <c r="Q77" s="2" t="str">
        <f aca="false">IF((E77="c"),H77," ")</f>
        <v> </v>
      </c>
      <c r="R77" s="2" t="str">
        <f aca="false">IF((E77="d"),H77," ")</f>
        <v> </v>
      </c>
      <c r="S77" s="2" t="str">
        <f aca="false">IF((E77="g"),H77," ")</f>
        <v> </v>
      </c>
      <c r="T77" s="2" t="str">
        <f aca="false">IF((E77="o"),H77," ")</f>
        <v> </v>
      </c>
      <c r="U77" s="2" t="str">
        <f aca="false">IF((E77="FS"),H77," ")</f>
        <v> </v>
      </c>
    </row>
    <row r="78" customFormat="false" ht="12" hidden="false" customHeight="false" outlineLevel="0" collapsed="false">
      <c r="E78" s="4" t="str">
        <f aca="false">IF((F78&lt;&gt;0),"Enter Letter"," ")</f>
        <v> </v>
      </c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  <c r="O78" s="2" t="str">
        <f aca="false">IF((E78="a"),H78," ")</f>
        <v> </v>
      </c>
      <c r="P78" s="2" t="str">
        <f aca="false">IF((E78="b"),H78," ")</f>
        <v> </v>
      </c>
      <c r="Q78" s="2" t="str">
        <f aca="false">IF((E78="c"),H78," ")</f>
        <v> </v>
      </c>
      <c r="R78" s="2" t="str">
        <f aca="false">IF((E78="d"),H78," ")</f>
        <v> </v>
      </c>
      <c r="S78" s="2" t="str">
        <f aca="false">IF((E78="g"),H78," ")</f>
        <v> </v>
      </c>
      <c r="T78" s="2" t="str">
        <f aca="false">IF((E78="o"),H78," ")</f>
        <v> </v>
      </c>
      <c r="U78" s="2" t="str">
        <f aca="false">IF((E78="FS"),H78," ")</f>
        <v> </v>
      </c>
    </row>
    <row r="79" customFormat="false" ht="12" hidden="false" customHeight="false" outlineLevel="0" collapsed="false">
      <c r="E79" s="4" t="str">
        <f aca="false">IF((F79&lt;&gt;0),"Enter Letter"," ")</f>
        <v> </v>
      </c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  <c r="O79" s="2" t="str">
        <f aca="false">IF((E79="a"),H79," ")</f>
        <v> </v>
      </c>
      <c r="P79" s="2" t="str">
        <f aca="false">IF((E79="b"),H79," ")</f>
        <v> </v>
      </c>
      <c r="Q79" s="2" t="str">
        <f aca="false">IF((E79="c"),H79," ")</f>
        <v> </v>
      </c>
      <c r="R79" s="2" t="str">
        <f aca="false">IF((E79="d"),H79," ")</f>
        <v> </v>
      </c>
      <c r="S79" s="2" t="str">
        <f aca="false">IF((E79="g"),H79," ")</f>
        <v> </v>
      </c>
      <c r="T79" s="2" t="str">
        <f aca="false">IF((E79="o"),H79," ")</f>
        <v> </v>
      </c>
      <c r="U79" s="2" t="str">
        <f aca="false">IF((E79="FS"),H79," ")</f>
        <v> </v>
      </c>
    </row>
    <row r="80" customFormat="false" ht="12" hidden="false" customHeight="false" outlineLevel="0" collapsed="false">
      <c r="E80" s="4" t="str">
        <f aca="false">IF((F80&lt;&gt;0),"Enter Letter"," ")</f>
        <v> </v>
      </c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  <c r="O80" s="2" t="str">
        <f aca="false">IF((E80="a"),H80," ")</f>
        <v> </v>
      </c>
      <c r="P80" s="2" t="str">
        <f aca="false">IF((E80="b"),H80," ")</f>
        <v> </v>
      </c>
      <c r="Q80" s="2" t="str">
        <f aca="false">IF((E80="c"),H80," ")</f>
        <v> </v>
      </c>
      <c r="R80" s="2" t="str">
        <f aca="false">IF((E80="d"),H80," ")</f>
        <v> </v>
      </c>
      <c r="S80" s="2" t="str">
        <f aca="false">IF((E80="g"),H80," ")</f>
        <v> </v>
      </c>
      <c r="T80" s="2" t="str">
        <f aca="false">IF((E80="o"),H80," ")</f>
        <v> </v>
      </c>
      <c r="U80" s="2" t="str">
        <f aca="false">IF((E80="FS"),H80," ")</f>
        <v> </v>
      </c>
    </row>
    <row r="81" customFormat="false" ht="12" hidden="false" customHeight="false" outlineLevel="0" collapsed="false">
      <c r="E81" s="4" t="str">
        <f aca="false">IF((F81&lt;&gt;0),"Enter Letter"," ")</f>
        <v> </v>
      </c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  <c r="O81" s="2" t="str">
        <f aca="false">IF((E81="a"),H81," ")</f>
        <v> </v>
      </c>
      <c r="P81" s="2" t="str">
        <f aca="false">IF((E81="b"),H81," ")</f>
        <v> </v>
      </c>
      <c r="Q81" s="2" t="str">
        <f aca="false">IF((E81="c"),H81," ")</f>
        <v> </v>
      </c>
      <c r="R81" s="2" t="str">
        <f aca="false">IF((E81="d"),H81," ")</f>
        <v> </v>
      </c>
      <c r="S81" s="2" t="str">
        <f aca="false">IF((E81="g"),H81," ")</f>
        <v> </v>
      </c>
      <c r="T81" s="2" t="str">
        <f aca="false">IF((E81="o"),H81," ")</f>
        <v> </v>
      </c>
      <c r="U81" s="2" t="str">
        <f aca="false">IF((E81="FS"),H81," ")</f>
        <v> </v>
      </c>
    </row>
    <row r="82" customFormat="false" ht="12" hidden="false" customHeight="false" outlineLevel="0" collapsed="false">
      <c r="E82" s="4" t="str">
        <f aca="false">IF((F82&lt;&gt;0),"Enter Letter"," ")</f>
        <v> </v>
      </c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  <c r="O82" s="2" t="str">
        <f aca="false">IF((E82="a"),H82," ")</f>
        <v> </v>
      </c>
      <c r="P82" s="2" t="str">
        <f aca="false">IF((E82="b"),H82," ")</f>
        <v> </v>
      </c>
      <c r="Q82" s="2" t="str">
        <f aca="false">IF((E82="c"),H82," ")</f>
        <v> </v>
      </c>
      <c r="R82" s="2" t="str">
        <f aca="false">IF((E82="d"),H82," ")</f>
        <v> </v>
      </c>
      <c r="S82" s="2" t="str">
        <f aca="false">IF((E82="g"),H82," ")</f>
        <v> </v>
      </c>
      <c r="T82" s="2" t="str">
        <f aca="false">IF((E82="o"),H82," ")</f>
        <v> </v>
      </c>
      <c r="U82" s="2" t="str">
        <f aca="false">IF((E82="FS"),H82," ")</f>
        <v> </v>
      </c>
    </row>
    <row r="83" customFormat="false" ht="12" hidden="false" customHeight="false" outlineLevel="0" collapsed="false">
      <c r="E83" s="4" t="str">
        <f aca="false">IF((F83&lt;&gt;0),"Enter Letter"," ")</f>
        <v> </v>
      </c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  <c r="O83" s="2" t="str">
        <f aca="false">IF((E83="a"),H83," ")</f>
        <v> </v>
      </c>
      <c r="P83" s="2" t="str">
        <f aca="false">IF((E83="b"),H83," ")</f>
        <v> </v>
      </c>
      <c r="Q83" s="2" t="str">
        <f aca="false">IF((E83="c"),H83," ")</f>
        <v> </v>
      </c>
      <c r="R83" s="2" t="str">
        <f aca="false">IF((E83="d"),H83," ")</f>
        <v> </v>
      </c>
      <c r="S83" s="2" t="str">
        <f aca="false">IF((E83="g"),H83," ")</f>
        <v> </v>
      </c>
      <c r="T83" s="2" t="str">
        <f aca="false">IF((E83="o"),H83," ")</f>
        <v> </v>
      </c>
      <c r="U83" s="2" t="str">
        <f aca="false">IF((E83="FS"),H83," ")</f>
        <v> </v>
      </c>
    </row>
    <row r="84" customFormat="false" ht="12" hidden="false" customHeight="false" outlineLevel="0" collapsed="false">
      <c r="E84" s="4" t="str">
        <f aca="false">IF((F84&lt;&gt;0),"Enter Letter"," ")</f>
        <v> </v>
      </c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  <c r="O84" s="2" t="str">
        <f aca="false">IF((E84="a"),H84," ")</f>
        <v> </v>
      </c>
      <c r="P84" s="2" t="str">
        <f aca="false">IF((E84="b"),H84," ")</f>
        <v> </v>
      </c>
      <c r="Q84" s="2" t="str">
        <f aca="false">IF((E84="c"),H84," ")</f>
        <v> </v>
      </c>
      <c r="R84" s="2" t="str">
        <f aca="false">IF((E84="d"),H84," ")</f>
        <v> </v>
      </c>
      <c r="S84" s="2" t="str">
        <f aca="false">IF((E84="g"),H84," ")</f>
        <v> </v>
      </c>
      <c r="T84" s="2" t="str">
        <f aca="false">IF((E84="o"),H84," ")</f>
        <v> </v>
      </c>
      <c r="U84" s="2" t="str">
        <f aca="false">IF((E84="FS"),H84," ")</f>
        <v> </v>
      </c>
    </row>
    <row r="85" customFormat="false" ht="12" hidden="false" customHeight="false" outlineLevel="0" collapsed="false">
      <c r="E85" s="4" t="str">
        <f aca="false">IF((F85&lt;&gt;0),"Enter Letter"," ")</f>
        <v> </v>
      </c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  <c r="O85" s="2" t="str">
        <f aca="false">IF((E85="a"),H85," ")</f>
        <v> </v>
      </c>
      <c r="P85" s="2" t="str">
        <f aca="false">IF((E85="b"),H85," ")</f>
        <v> </v>
      </c>
      <c r="Q85" s="2" t="str">
        <f aca="false">IF((E85="c"),H85," ")</f>
        <v> </v>
      </c>
      <c r="R85" s="2" t="str">
        <f aca="false">IF((E85="d"),H85," ")</f>
        <v> </v>
      </c>
      <c r="S85" s="2" t="str">
        <f aca="false">IF((E85="g"),H85," ")</f>
        <v> </v>
      </c>
      <c r="T85" s="2" t="str">
        <f aca="false">IF((E85="o"),H85," ")</f>
        <v> </v>
      </c>
      <c r="U85" s="2" t="str">
        <f aca="false">IF((E85="FS"),H85," ")</f>
        <v> </v>
      </c>
    </row>
    <row r="86" customFormat="false" ht="12" hidden="false" customHeight="false" outlineLevel="0" collapsed="false">
      <c r="E86" s="4" t="str">
        <f aca="false">IF((F86&lt;&gt;0),"Enter Letter"," ")</f>
        <v> </v>
      </c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  <c r="O86" s="2" t="str">
        <f aca="false">IF((E86="a"),H86," ")</f>
        <v> </v>
      </c>
      <c r="P86" s="2" t="str">
        <f aca="false">IF((E86="b"),H86," ")</f>
        <v> </v>
      </c>
      <c r="Q86" s="2" t="str">
        <f aca="false">IF((E86="c"),H86," ")</f>
        <v> </v>
      </c>
      <c r="R86" s="2" t="str">
        <f aca="false">IF((E86="d"),H86," ")</f>
        <v> </v>
      </c>
      <c r="S86" s="2" t="str">
        <f aca="false">IF((E86="g"),H86," ")</f>
        <v> </v>
      </c>
      <c r="T86" s="2" t="str">
        <f aca="false">IF((E86="o"),H86," ")</f>
        <v> </v>
      </c>
      <c r="U86" s="2" t="str">
        <f aca="false">IF((E86="FS"),H86," ")</f>
        <v> </v>
      </c>
    </row>
    <row r="87" customFormat="false" ht="12" hidden="false" customHeight="false" outlineLevel="0" collapsed="false">
      <c r="E87" s="4" t="str">
        <f aca="false">IF((F87&lt;&gt;0),"Enter Letter"," ")</f>
        <v> </v>
      </c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  <c r="O87" s="2" t="str">
        <f aca="false">IF((E87="a"),H87," ")</f>
        <v> </v>
      </c>
      <c r="P87" s="2" t="str">
        <f aca="false">IF((E87="b"),H87," ")</f>
        <v> </v>
      </c>
      <c r="Q87" s="2" t="str">
        <f aca="false">IF((E87="c"),H87," ")</f>
        <v> </v>
      </c>
      <c r="R87" s="2" t="str">
        <f aca="false">IF((E87="d"),H87," ")</f>
        <v> </v>
      </c>
      <c r="S87" s="2" t="str">
        <f aca="false">IF((E87="g"),H87," ")</f>
        <v> </v>
      </c>
      <c r="T87" s="2" t="str">
        <f aca="false">IF((E87="o"),H87," ")</f>
        <v> </v>
      </c>
      <c r="U87" s="2" t="str">
        <f aca="false">IF((E87="FS"),H87," ")</f>
        <v> </v>
      </c>
    </row>
    <row r="88" customFormat="false" ht="12" hidden="false" customHeight="false" outlineLevel="0" collapsed="false">
      <c r="E88" s="4" t="str">
        <f aca="false">IF((F88&lt;&gt;0),"Enter Letter"," ")</f>
        <v> </v>
      </c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  <c r="O88" s="2" t="str">
        <f aca="false">IF((E88="a"),H88," ")</f>
        <v> </v>
      </c>
      <c r="P88" s="2" t="str">
        <f aca="false">IF((E88="b"),H88," ")</f>
        <v> </v>
      </c>
      <c r="Q88" s="2" t="str">
        <f aca="false">IF((E88="c"),H88," ")</f>
        <v> </v>
      </c>
      <c r="R88" s="2" t="str">
        <f aca="false">IF((E88="d"),H88," ")</f>
        <v> </v>
      </c>
      <c r="S88" s="2" t="str">
        <f aca="false">IF((E88="g"),H88," ")</f>
        <v> </v>
      </c>
      <c r="T88" s="2" t="str">
        <f aca="false">IF((E88="o"),H88," ")</f>
        <v> </v>
      </c>
      <c r="U88" s="2" t="str">
        <f aca="false">IF((E88="FS"),H88," ")</f>
        <v> </v>
      </c>
    </row>
    <row r="89" customFormat="false" ht="12" hidden="false" customHeight="false" outlineLevel="0" collapsed="false">
      <c r="E89" s="4" t="str">
        <f aca="false">IF((F89&lt;&gt;0),"Enter Letter"," ")</f>
        <v> </v>
      </c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  <c r="O89" s="2" t="str">
        <f aca="false">IF((E89="a"),H89," ")</f>
        <v> </v>
      </c>
      <c r="P89" s="2" t="str">
        <f aca="false">IF((E89="b"),H89," ")</f>
        <v> </v>
      </c>
      <c r="Q89" s="2" t="str">
        <f aca="false">IF((E89="c"),H89," ")</f>
        <v> </v>
      </c>
      <c r="R89" s="2" t="str">
        <f aca="false">IF((E89="d"),H89," ")</f>
        <v> </v>
      </c>
      <c r="S89" s="2" t="str">
        <f aca="false">IF((E89="g"),H89," ")</f>
        <v> </v>
      </c>
      <c r="T89" s="2" t="str">
        <f aca="false">IF((E89="o"),H89," ")</f>
        <v> </v>
      </c>
      <c r="U89" s="2" t="str">
        <f aca="false">IF((E89="FS"),H89," ")</f>
        <v> </v>
      </c>
    </row>
    <row r="90" customFormat="false" ht="12" hidden="false" customHeight="false" outlineLevel="0" collapsed="false">
      <c r="E90" s="4" t="str">
        <f aca="false">IF((F90&lt;&gt;0),"Enter Letter"," ")</f>
        <v> </v>
      </c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  <c r="O90" s="2" t="str">
        <f aca="false">IF((E90="a"),H90," ")</f>
        <v> </v>
      </c>
      <c r="P90" s="2" t="str">
        <f aca="false">IF((E90="b"),H90," ")</f>
        <v> </v>
      </c>
      <c r="Q90" s="2" t="str">
        <f aca="false">IF((E90="c"),H90," ")</f>
        <v> </v>
      </c>
      <c r="R90" s="2" t="str">
        <f aca="false">IF((E90="d"),H90," ")</f>
        <v> </v>
      </c>
      <c r="S90" s="2" t="str">
        <f aca="false">IF((E90="g"),H90," ")</f>
        <v> </v>
      </c>
      <c r="T90" s="2" t="str">
        <f aca="false">IF((E90="o"),H90," ")</f>
        <v> </v>
      </c>
      <c r="U90" s="2" t="str">
        <f aca="false">IF((E90="FS"),H90," ")</f>
        <v> </v>
      </c>
    </row>
    <row r="91" customFormat="false" ht="12" hidden="false" customHeight="false" outlineLevel="0" collapsed="false">
      <c r="E91" s="4" t="str">
        <f aca="false">IF((F91&lt;&gt;0),"Enter Letter"," ")</f>
        <v> </v>
      </c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  <c r="O91" s="2" t="str">
        <f aca="false">IF((E91="a"),H91," ")</f>
        <v> </v>
      </c>
      <c r="P91" s="2" t="str">
        <f aca="false">IF((E91="b"),H91," ")</f>
        <v> </v>
      </c>
      <c r="Q91" s="2" t="str">
        <f aca="false">IF((E91="c"),H91," ")</f>
        <v> </v>
      </c>
      <c r="R91" s="2" t="str">
        <f aca="false">IF((E91="d"),H91," ")</f>
        <v> </v>
      </c>
      <c r="S91" s="2" t="str">
        <f aca="false">IF((E91="g"),H91," ")</f>
        <v> </v>
      </c>
      <c r="T91" s="2" t="str">
        <f aca="false">IF((E91="o"),H91," ")</f>
        <v> </v>
      </c>
      <c r="U91" s="2" t="str">
        <f aca="false">IF((E91="FS"),H91," ")</f>
        <v> </v>
      </c>
    </row>
    <row r="92" customFormat="false" ht="12" hidden="false" customHeight="false" outlineLevel="0" collapsed="false">
      <c r="E92" s="4" t="str">
        <f aca="false">IF((F92&lt;&gt;0),"Enter Letter"," ")</f>
        <v> </v>
      </c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  <c r="O92" s="2" t="str">
        <f aca="false">IF((E92="a"),H92," ")</f>
        <v> </v>
      </c>
      <c r="P92" s="2" t="str">
        <f aca="false">IF((E92="b"),H92," ")</f>
        <v> </v>
      </c>
      <c r="Q92" s="2" t="str">
        <f aca="false">IF((E92="c"),H92," ")</f>
        <v> </v>
      </c>
      <c r="R92" s="2" t="str">
        <f aca="false">IF((E92="d"),H92," ")</f>
        <v> </v>
      </c>
      <c r="S92" s="2" t="str">
        <f aca="false">IF((E92="g"),H92," ")</f>
        <v> </v>
      </c>
      <c r="T92" s="2" t="str">
        <f aca="false">IF((E92="o"),H92," ")</f>
        <v> </v>
      </c>
      <c r="U92" s="2" t="str">
        <f aca="false">IF((E92="FS"),H92," ")</f>
        <v> </v>
      </c>
    </row>
    <row r="93" customFormat="false" ht="12" hidden="false" customHeight="false" outlineLevel="0" collapsed="false">
      <c r="E93" s="4" t="str">
        <f aca="false">IF((F93&lt;&gt;0),"Enter Letter"," ")</f>
        <v> </v>
      </c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  <c r="O93" s="2" t="str">
        <f aca="false">IF((E93="a"),H93," ")</f>
        <v> </v>
      </c>
      <c r="P93" s="2" t="str">
        <f aca="false">IF((E93="b"),H93," ")</f>
        <v> </v>
      </c>
      <c r="Q93" s="2" t="str">
        <f aca="false">IF((E93="c"),H93," ")</f>
        <v> </v>
      </c>
      <c r="R93" s="2" t="str">
        <f aca="false">IF((E93="d"),H93," ")</f>
        <v> </v>
      </c>
      <c r="S93" s="2" t="str">
        <f aca="false">IF((E93="g"),H93," ")</f>
        <v> </v>
      </c>
      <c r="T93" s="2" t="str">
        <f aca="false">IF((E93="o"),H93," ")</f>
        <v> </v>
      </c>
      <c r="U93" s="2" t="str">
        <f aca="false">IF((E93="FS"),H93," ")</f>
        <v> </v>
      </c>
    </row>
    <row r="94" customFormat="false" ht="12" hidden="false" customHeight="false" outlineLevel="0" collapsed="false">
      <c r="E94" s="4" t="str">
        <f aca="false">IF((F94&lt;&gt;0),"Enter Letter"," ")</f>
        <v> </v>
      </c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  <c r="O94" s="2" t="str">
        <f aca="false">IF((E94="a"),H94," ")</f>
        <v> </v>
      </c>
      <c r="P94" s="2" t="str">
        <f aca="false">IF((E94="b"),H94," ")</f>
        <v> </v>
      </c>
      <c r="Q94" s="2" t="str">
        <f aca="false">IF((E94="c"),H94," ")</f>
        <v> </v>
      </c>
      <c r="R94" s="2" t="str">
        <f aca="false">IF((E94="d"),H94," ")</f>
        <v> </v>
      </c>
      <c r="S94" s="2" t="str">
        <f aca="false">IF((E94="g"),H94," ")</f>
        <v> </v>
      </c>
      <c r="T94" s="2" t="str">
        <f aca="false">IF((E94="o"),H94," ")</f>
        <v> </v>
      </c>
      <c r="U94" s="2" t="str">
        <f aca="false">IF((E94="FS"),H94," ")</f>
        <v> </v>
      </c>
    </row>
    <row r="95" customFormat="false" ht="12" hidden="false" customHeight="false" outlineLevel="0" collapsed="false">
      <c r="E95" s="4" t="str">
        <f aca="false">IF((F95&lt;&gt;0),"Enter Letter"," ")</f>
        <v> </v>
      </c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  <c r="O95" s="2" t="str">
        <f aca="false">IF((E95="a"),H95," ")</f>
        <v> </v>
      </c>
      <c r="P95" s="2" t="str">
        <f aca="false">IF((E95="b"),H95," ")</f>
        <v> </v>
      </c>
      <c r="Q95" s="2" t="str">
        <f aca="false">IF((E95="c"),H95," ")</f>
        <v> </v>
      </c>
      <c r="R95" s="2" t="str">
        <f aca="false">IF((E95="d"),H95," ")</f>
        <v> </v>
      </c>
      <c r="S95" s="2" t="str">
        <f aca="false">IF((E95="g"),H95," ")</f>
        <v> </v>
      </c>
      <c r="T95" s="2" t="str">
        <f aca="false">IF((E95="o"),H95," ")</f>
        <v> </v>
      </c>
      <c r="U95" s="2" t="str">
        <f aca="false">IF((E95="FS"),H95," ")</f>
        <v> </v>
      </c>
    </row>
    <row r="96" customFormat="false" ht="12" hidden="false" customHeight="false" outlineLevel="0" collapsed="false">
      <c r="E96" s="4" t="str">
        <f aca="false">IF((F96&lt;&gt;0),"Enter Letter"," ")</f>
        <v> </v>
      </c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  <c r="O96" s="2" t="str">
        <f aca="false">IF((E96="a"),H96," ")</f>
        <v> </v>
      </c>
      <c r="P96" s="2" t="str">
        <f aca="false">IF((E96="b"),H96," ")</f>
        <v> </v>
      </c>
      <c r="Q96" s="2" t="str">
        <f aca="false">IF((E96="c"),H96," ")</f>
        <v> </v>
      </c>
      <c r="R96" s="2" t="str">
        <f aca="false">IF((E96="d"),H96," ")</f>
        <v> </v>
      </c>
      <c r="S96" s="2" t="str">
        <f aca="false">IF((E96="g"),H96," ")</f>
        <v> </v>
      </c>
      <c r="T96" s="2" t="str">
        <f aca="false">IF((E96="o"),H96," ")</f>
        <v> </v>
      </c>
      <c r="U96" s="2" t="str">
        <f aca="false">IF((E96="FS"),H96," ")</f>
        <v> </v>
      </c>
    </row>
    <row r="97" customFormat="false" ht="12" hidden="false" customHeight="false" outlineLevel="0" collapsed="false">
      <c r="E97" s="4" t="str">
        <f aca="false">IF((F97&lt;&gt;0),"Enter Letter"," ")</f>
        <v> </v>
      </c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  <c r="O97" s="2" t="str">
        <f aca="false">IF((E97="a"),H97," ")</f>
        <v> </v>
      </c>
      <c r="P97" s="2" t="str">
        <f aca="false">IF((E97="b"),H97," ")</f>
        <v> </v>
      </c>
      <c r="Q97" s="2" t="str">
        <f aca="false">IF((E97="c"),H97," ")</f>
        <v> </v>
      </c>
      <c r="R97" s="2" t="str">
        <f aca="false">IF((E97="d"),H97," ")</f>
        <v> </v>
      </c>
      <c r="S97" s="2" t="str">
        <f aca="false">IF((E97="g"),H97," ")</f>
        <v> </v>
      </c>
      <c r="T97" s="2" t="str">
        <f aca="false">IF((E97="o"),H97," ")</f>
        <v> </v>
      </c>
      <c r="U97" s="2" t="str">
        <f aca="false">IF((E97="FS"),H97," ")</f>
        <v> </v>
      </c>
    </row>
    <row r="98" customFormat="false" ht="12" hidden="false" customHeight="false" outlineLevel="0" collapsed="false">
      <c r="E98" s="4" t="str">
        <f aca="false">IF((F98&lt;&gt;0),"Enter Letter"," ")</f>
        <v> </v>
      </c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  <c r="O98" s="2" t="str">
        <f aca="false">IF((E98="a"),H98," ")</f>
        <v> </v>
      </c>
      <c r="P98" s="2" t="str">
        <f aca="false">IF((E98="b"),H98," ")</f>
        <v> </v>
      </c>
      <c r="Q98" s="2" t="str">
        <f aca="false">IF((E98="c"),H98," ")</f>
        <v> </v>
      </c>
      <c r="R98" s="2" t="str">
        <f aca="false">IF((E98="d"),H98," ")</f>
        <v> </v>
      </c>
      <c r="S98" s="2" t="str">
        <f aca="false">IF((E98="g"),H98," ")</f>
        <v> </v>
      </c>
      <c r="T98" s="2" t="str">
        <f aca="false">IF((E98="o"),H98," ")</f>
        <v> </v>
      </c>
      <c r="U98" s="2" t="str">
        <f aca="false">IF((E98="FS"),H98," ")</f>
        <v> </v>
      </c>
    </row>
    <row r="99" customFormat="false" ht="12" hidden="false" customHeight="false" outlineLevel="0" collapsed="false">
      <c r="E99" s="4" t="str">
        <f aca="false">IF((F99&lt;&gt;0),"Enter Letter"," ")</f>
        <v> </v>
      </c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  <c r="O99" s="2" t="str">
        <f aca="false">IF((E99="a"),H99," ")</f>
        <v> </v>
      </c>
      <c r="P99" s="2" t="str">
        <f aca="false">IF((E99="b"),H99," ")</f>
        <v> </v>
      </c>
      <c r="Q99" s="2" t="str">
        <f aca="false">IF((E99="c"),H99," ")</f>
        <v> </v>
      </c>
      <c r="R99" s="2" t="str">
        <f aca="false">IF((E99="d"),H99," ")</f>
        <v> </v>
      </c>
      <c r="S99" s="2" t="str">
        <f aca="false">IF((E99="g"),H99," ")</f>
        <v> </v>
      </c>
      <c r="T99" s="2" t="str">
        <f aca="false">IF((E99="o"),H99," ")</f>
        <v> </v>
      </c>
      <c r="U99" s="2" t="str">
        <f aca="false">IF((E99="FS"),H99," ")</f>
        <v> </v>
      </c>
    </row>
    <row r="100" customFormat="false" ht="12" hidden="false" customHeight="false" outlineLevel="0" collapsed="false">
      <c r="E100" s="4" t="str">
        <f aca="false">IF((F100&lt;&gt;0),"Enter Letter"," ")</f>
        <v> </v>
      </c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  <c r="O100" s="2" t="str">
        <f aca="false">IF((E100="a"),H100," ")</f>
        <v> </v>
      </c>
      <c r="P100" s="2" t="str">
        <f aca="false">IF((E100="b"),H100," ")</f>
        <v> </v>
      </c>
      <c r="Q100" s="2" t="str">
        <f aca="false">IF((E100="c"),H100," ")</f>
        <v> </v>
      </c>
      <c r="R100" s="2" t="str">
        <f aca="false">IF((E100="d"),H100," ")</f>
        <v> </v>
      </c>
      <c r="S100" s="2" t="str">
        <f aca="false">IF((E100="g"),H100," ")</f>
        <v> </v>
      </c>
      <c r="T100" s="2" t="str">
        <f aca="false">IF((E100="o"),H100," ")</f>
        <v> </v>
      </c>
      <c r="U100" s="2" t="str">
        <f aca="false">IF((E100="FS"),H100," ")</f>
        <v> </v>
      </c>
    </row>
    <row r="101" customFormat="false" ht="12" hidden="false" customHeight="false" outlineLevel="0" collapsed="false">
      <c r="E101" s="4" t="str">
        <f aca="false">IF((F101&lt;&gt;0),"Enter Letter"," ")</f>
        <v> </v>
      </c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  <c r="O101" s="2" t="str">
        <f aca="false">IF((E101="a"),H101," ")</f>
        <v> </v>
      </c>
      <c r="P101" s="2" t="str">
        <f aca="false">IF((E101="b"),H101," ")</f>
        <v> </v>
      </c>
      <c r="Q101" s="2" t="str">
        <f aca="false">IF((E101="c"),H101," ")</f>
        <v> </v>
      </c>
      <c r="R101" s="2" t="str">
        <f aca="false">IF((E101="d"),H101," ")</f>
        <v> </v>
      </c>
      <c r="S101" s="2" t="str">
        <f aca="false">IF((E101="g"),H101," ")</f>
        <v> </v>
      </c>
      <c r="T101" s="2" t="str">
        <f aca="false">IF((E101="o"),H101," ")</f>
        <v> </v>
      </c>
      <c r="U101" s="2" t="str">
        <f aca="false">IF((E101="FS"),H101," ")</f>
        <v> </v>
      </c>
    </row>
    <row r="102" customFormat="false" ht="12" hidden="false" customHeight="false" outlineLevel="0" collapsed="false">
      <c r="E102" s="4" t="str">
        <f aca="false">IF((F102&lt;&gt;0),"Enter Letter"," ")</f>
        <v> </v>
      </c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  <c r="O102" s="2" t="str">
        <f aca="false">IF((E102="a"),H102," ")</f>
        <v> </v>
      </c>
      <c r="P102" s="2" t="str">
        <f aca="false">IF((E102="b"),H102," ")</f>
        <v> </v>
      </c>
      <c r="Q102" s="2" t="str">
        <f aca="false">IF((E102="c"),H102," ")</f>
        <v> </v>
      </c>
      <c r="R102" s="2" t="str">
        <f aca="false">IF((E102="d"),H102," ")</f>
        <v> </v>
      </c>
      <c r="S102" s="2" t="str">
        <f aca="false">IF((E102="g"),H102," ")</f>
        <v> </v>
      </c>
      <c r="T102" s="2" t="str">
        <f aca="false">IF((E102="o"),H102," ")</f>
        <v> </v>
      </c>
      <c r="U102" s="2" t="str">
        <f aca="false">IF((E102="FS"),H102," ")</f>
        <v> </v>
      </c>
    </row>
    <row r="103" customFormat="false" ht="12" hidden="false" customHeight="false" outlineLevel="0" collapsed="false">
      <c r="E103" s="4" t="str">
        <f aca="false">IF((F103&lt;&gt;0),"Enter Letter"," ")</f>
        <v> </v>
      </c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  <c r="O103" s="2" t="str">
        <f aca="false">IF((E103="a"),H103," ")</f>
        <v> </v>
      </c>
      <c r="P103" s="2" t="str">
        <f aca="false">IF((E103="b"),H103," ")</f>
        <v> </v>
      </c>
      <c r="Q103" s="2" t="str">
        <f aca="false">IF((E103="c"),H103," ")</f>
        <v> </v>
      </c>
      <c r="R103" s="2" t="str">
        <f aca="false">IF((E103="d"),H103," ")</f>
        <v> </v>
      </c>
      <c r="S103" s="2" t="str">
        <f aca="false">IF((E103="g"),H103," ")</f>
        <v> </v>
      </c>
      <c r="T103" s="2" t="str">
        <f aca="false">IF((E103="o"),H103," ")</f>
        <v> </v>
      </c>
      <c r="U103" s="2" t="str">
        <f aca="false">IF((E103="FS"),H103," ")</f>
        <v> </v>
      </c>
    </row>
    <row r="104" customFormat="false" ht="12" hidden="false" customHeight="false" outlineLevel="0" collapsed="false">
      <c r="E104" s="4" t="str">
        <f aca="false">IF((F104&lt;&gt;0),"Enter Letter"," ")</f>
        <v> </v>
      </c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  <c r="O104" s="2" t="str">
        <f aca="false">IF((E104="a"),H104," ")</f>
        <v> </v>
      </c>
      <c r="P104" s="2" t="str">
        <f aca="false">IF((E104="b"),H104," ")</f>
        <v> </v>
      </c>
      <c r="Q104" s="2" t="str">
        <f aca="false">IF((E104="c"),H104," ")</f>
        <v> </v>
      </c>
      <c r="R104" s="2" t="str">
        <f aca="false">IF((E104="d"),H104," ")</f>
        <v> </v>
      </c>
      <c r="S104" s="2" t="str">
        <f aca="false">IF((E104="g"),H104," ")</f>
        <v> </v>
      </c>
      <c r="T104" s="2" t="str">
        <f aca="false">IF((E104="o"),H104," ")</f>
        <v> </v>
      </c>
      <c r="U104" s="2" t="str">
        <f aca="false">IF((E104="FS"),H104," ")</f>
        <v> </v>
      </c>
    </row>
    <row r="105" customFormat="false" ht="12" hidden="false" customHeight="false" outlineLevel="0" collapsed="false">
      <c r="E105" s="4" t="str">
        <f aca="false">IF((F105&lt;&gt;0),"Enter Letter"," ")</f>
        <v> </v>
      </c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  <c r="O105" s="2" t="str">
        <f aca="false">IF((E105="a"),H105," ")</f>
        <v> </v>
      </c>
      <c r="P105" s="2" t="str">
        <f aca="false">IF((E105="b"),H105," ")</f>
        <v> </v>
      </c>
      <c r="Q105" s="2" t="str">
        <f aca="false">IF((E105="c"),H105," ")</f>
        <v> </v>
      </c>
      <c r="R105" s="2" t="str">
        <f aca="false">IF((E105="d"),H105," ")</f>
        <v> </v>
      </c>
      <c r="S105" s="2" t="str">
        <f aca="false">IF((E105="g"),H105," ")</f>
        <v> </v>
      </c>
      <c r="T105" s="2" t="str">
        <f aca="false">IF((E105="o"),H105," ")</f>
        <v> </v>
      </c>
      <c r="U105" s="2" t="str">
        <f aca="false">IF((E105="FS"),H105," ")</f>
        <v> </v>
      </c>
    </row>
    <row r="106" customFormat="false" ht="12" hidden="false" customHeight="false" outlineLevel="0" collapsed="false">
      <c r="E106" s="4" t="str">
        <f aca="false">IF((F106&lt;&gt;0),"Enter Letter"," ")</f>
        <v> </v>
      </c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  <c r="O106" s="2" t="str">
        <f aca="false">IF((E106="a"),H106," ")</f>
        <v> </v>
      </c>
      <c r="P106" s="2" t="str">
        <f aca="false">IF((E106="b"),H106," ")</f>
        <v> </v>
      </c>
      <c r="Q106" s="2" t="str">
        <f aca="false">IF((E106="c"),H106," ")</f>
        <v> </v>
      </c>
      <c r="R106" s="2" t="str">
        <f aca="false">IF((E106="d"),H106," ")</f>
        <v> </v>
      </c>
      <c r="S106" s="2" t="str">
        <f aca="false">IF((E106="g"),H106," ")</f>
        <v> </v>
      </c>
      <c r="T106" s="2" t="str">
        <f aca="false">IF((E106="o"),H106," ")</f>
        <v> </v>
      </c>
      <c r="U106" s="2" t="str">
        <f aca="false">IF((E106="FS"),H106," ")</f>
        <v> </v>
      </c>
    </row>
    <row r="107" customFormat="false" ht="12" hidden="false" customHeight="false" outlineLevel="0" collapsed="false">
      <c r="E107" s="4" t="str">
        <f aca="false">IF((F107&lt;&gt;0),"Enter Letter"," ")</f>
        <v> </v>
      </c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  <c r="O107" s="2" t="str">
        <f aca="false">IF((E107="a"),H107," ")</f>
        <v> </v>
      </c>
      <c r="P107" s="2" t="str">
        <f aca="false">IF((E107="b"),H107," ")</f>
        <v> </v>
      </c>
      <c r="Q107" s="2" t="str">
        <f aca="false">IF((E107="c"),H107," ")</f>
        <v> </v>
      </c>
      <c r="R107" s="2" t="str">
        <f aca="false">IF((E107="d"),H107," ")</f>
        <v> </v>
      </c>
      <c r="S107" s="2" t="str">
        <f aca="false">IF((E107="g"),H107," ")</f>
        <v> </v>
      </c>
      <c r="T107" s="2" t="str">
        <f aca="false">IF((E107="o"),H107," ")</f>
        <v> </v>
      </c>
      <c r="U107" s="2" t="str">
        <f aca="false">IF((E107="FS"),H107," ")</f>
        <v> </v>
      </c>
    </row>
    <row r="108" customFormat="false" ht="12" hidden="false" customHeight="false" outlineLevel="0" collapsed="false">
      <c r="E108" s="4" t="str">
        <f aca="false">IF((F108&lt;&gt;0),"Enter Letter"," ")</f>
        <v> </v>
      </c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  <c r="O108" s="2" t="str">
        <f aca="false">IF((E108="a"),H108," ")</f>
        <v> </v>
      </c>
      <c r="P108" s="2" t="str">
        <f aca="false">IF((E108="b"),H108," ")</f>
        <v> </v>
      </c>
      <c r="Q108" s="2" t="str">
        <f aca="false">IF((E108="c"),H108," ")</f>
        <v> </v>
      </c>
      <c r="R108" s="2" t="str">
        <f aca="false">IF((E108="d"),H108," ")</f>
        <v> </v>
      </c>
      <c r="S108" s="2" t="str">
        <f aca="false">IF((E108="g"),H108," ")</f>
        <v> </v>
      </c>
      <c r="T108" s="2" t="str">
        <f aca="false">IF((E108="o"),H108," ")</f>
        <v> </v>
      </c>
      <c r="U108" s="2" t="str">
        <f aca="false">IF((E108="FS"),H108," ")</f>
        <v> </v>
      </c>
    </row>
    <row r="109" customFormat="false" ht="12" hidden="false" customHeight="false" outlineLevel="0" collapsed="false">
      <c r="E109" s="4" t="str">
        <f aca="false">IF((F109&lt;&gt;0),"Enter Letter"," ")</f>
        <v> </v>
      </c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  <c r="O109" s="2" t="str">
        <f aca="false">IF((E109="a"),H109," ")</f>
        <v> </v>
      </c>
      <c r="P109" s="2" t="str">
        <f aca="false">IF((E109="b"),H109," ")</f>
        <v> </v>
      </c>
      <c r="Q109" s="2" t="str">
        <f aca="false">IF((E109="c"),H109," ")</f>
        <v> </v>
      </c>
      <c r="R109" s="2" t="str">
        <f aca="false">IF((E109="d"),H109," ")</f>
        <v> </v>
      </c>
      <c r="S109" s="2" t="str">
        <f aca="false">IF((E109="g"),H109," ")</f>
        <v> </v>
      </c>
      <c r="T109" s="2" t="str">
        <f aca="false">IF((E109="o"),H109," ")</f>
        <v> </v>
      </c>
      <c r="U109" s="2" t="str">
        <f aca="false">IF((E109="FS"),H109," ")</f>
        <v> </v>
      </c>
    </row>
    <row r="110" customFormat="false" ht="12" hidden="false" customHeight="false" outlineLevel="0" collapsed="false">
      <c r="E110" s="4" t="str">
        <f aca="false">IF((F110&lt;&gt;0),"Enter Letter"," ")</f>
        <v> </v>
      </c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  <c r="O110" s="2" t="str">
        <f aca="false">IF((E110="a"),H110," ")</f>
        <v> </v>
      </c>
      <c r="P110" s="2" t="str">
        <f aca="false">IF((E110="b"),H110," ")</f>
        <v> </v>
      </c>
      <c r="Q110" s="2" t="str">
        <f aca="false">IF((E110="c"),H110," ")</f>
        <v> </v>
      </c>
      <c r="R110" s="2" t="str">
        <f aca="false">IF((E110="d"),H110," ")</f>
        <v> </v>
      </c>
      <c r="S110" s="2" t="str">
        <f aca="false">IF((E110="g"),H110," ")</f>
        <v> </v>
      </c>
      <c r="T110" s="2" t="str">
        <f aca="false">IF((E110="o"),H110," ")</f>
        <v> </v>
      </c>
      <c r="U110" s="2" t="str">
        <f aca="false">IF((E110="FS"),H110," ")</f>
        <v> </v>
      </c>
    </row>
    <row r="111" customFormat="false" ht="12" hidden="false" customHeight="false" outlineLevel="0" collapsed="false">
      <c r="E111" s="4" t="str">
        <f aca="false">IF((F111&lt;&gt;0),"Enter Letter"," ")</f>
        <v> </v>
      </c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  <c r="O111" s="2" t="str">
        <f aca="false">IF((E111="a"),H111," ")</f>
        <v> </v>
      </c>
      <c r="P111" s="2" t="str">
        <f aca="false">IF((E111="b"),H111," ")</f>
        <v> </v>
      </c>
      <c r="Q111" s="2" t="str">
        <f aca="false">IF((E111="c"),H111," ")</f>
        <v> </v>
      </c>
      <c r="R111" s="2" t="str">
        <f aca="false">IF((E111="d"),H111," ")</f>
        <v> </v>
      </c>
      <c r="S111" s="2" t="str">
        <f aca="false">IF((E111="g"),H111," ")</f>
        <v> </v>
      </c>
      <c r="T111" s="2" t="str">
        <f aca="false">IF((E111="o"),H111," ")</f>
        <v> </v>
      </c>
      <c r="U111" s="2" t="str">
        <f aca="false">IF((E111="FS"),H111," ")</f>
        <v> </v>
      </c>
    </row>
    <row r="112" customFormat="false" ht="12" hidden="false" customHeight="false" outlineLevel="0" collapsed="false">
      <c r="E112" s="4" t="str">
        <f aca="false">IF((F112&lt;&gt;0),"Enter Letter"," ")</f>
        <v> </v>
      </c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  <c r="O112" s="2" t="str">
        <f aca="false">IF((E112="a"),H112," ")</f>
        <v> </v>
      </c>
      <c r="P112" s="2" t="str">
        <f aca="false">IF((E112="b"),H112," ")</f>
        <v> </v>
      </c>
      <c r="Q112" s="2" t="str">
        <f aca="false">IF((E112="c"),H112," ")</f>
        <v> </v>
      </c>
      <c r="R112" s="2" t="str">
        <f aca="false">IF((E112="d"),H112," ")</f>
        <v> </v>
      </c>
      <c r="S112" s="2" t="str">
        <f aca="false">IF((E112="g"),H112," ")</f>
        <v> </v>
      </c>
      <c r="T112" s="2" t="str">
        <f aca="false">IF((E112="o"),H112," ")</f>
        <v> </v>
      </c>
      <c r="U112" s="2" t="str">
        <f aca="false">IF((E112="FS"),H112," ")</f>
        <v> </v>
      </c>
    </row>
    <row r="113" customFormat="false" ht="12" hidden="false" customHeight="false" outlineLevel="0" collapsed="false">
      <c r="E113" s="4" t="str">
        <f aca="false">IF((F113&lt;&gt;0),"Enter Letter"," ")</f>
        <v> </v>
      </c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  <c r="O113" s="2" t="str">
        <f aca="false">IF((E113="a"),H113," ")</f>
        <v> </v>
      </c>
      <c r="P113" s="2" t="str">
        <f aca="false">IF((E113="b"),H113," ")</f>
        <v> </v>
      </c>
      <c r="Q113" s="2" t="str">
        <f aca="false">IF((E113="c"),H113," ")</f>
        <v> </v>
      </c>
      <c r="R113" s="2" t="str">
        <f aca="false">IF((E113="d"),H113," ")</f>
        <v> </v>
      </c>
      <c r="S113" s="2" t="str">
        <f aca="false">IF((E113="g"),H113," ")</f>
        <v> </v>
      </c>
      <c r="T113" s="2" t="str">
        <f aca="false">IF((E113="o"),H113," ")</f>
        <v> </v>
      </c>
      <c r="U113" s="2" t="str">
        <f aca="false">IF((E113="FS"),H113," ")</f>
        <v> </v>
      </c>
    </row>
    <row r="114" customFormat="false" ht="12" hidden="false" customHeight="false" outlineLevel="0" collapsed="false">
      <c r="E114" s="4" t="str">
        <f aca="false">IF((F114&lt;&gt;0),"Enter Letter"," ")</f>
        <v> </v>
      </c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  <c r="O114" s="2" t="str">
        <f aca="false">IF((E114="a"),H114," ")</f>
        <v> </v>
      </c>
      <c r="P114" s="2" t="str">
        <f aca="false">IF((E114="b"),H114," ")</f>
        <v> </v>
      </c>
      <c r="Q114" s="2" t="str">
        <f aca="false">IF((E114="c"),H114," ")</f>
        <v> </v>
      </c>
      <c r="R114" s="2" t="str">
        <f aca="false">IF((E114="d"),H114," ")</f>
        <v> </v>
      </c>
      <c r="S114" s="2" t="str">
        <f aca="false">IF((E114="g"),H114," ")</f>
        <v> </v>
      </c>
      <c r="T114" s="2" t="str">
        <f aca="false">IF((E114="o"),H114," ")</f>
        <v> </v>
      </c>
      <c r="U114" s="2" t="str">
        <f aca="false">IF((E114="FS"),H114," ")</f>
        <v> </v>
      </c>
    </row>
    <row r="115" customFormat="false" ht="12" hidden="false" customHeight="false" outlineLevel="0" collapsed="false">
      <c r="E115" s="4" t="str">
        <f aca="false">IF((F115&lt;&gt;0),"Enter Letter"," ")</f>
        <v> </v>
      </c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  <c r="O115" s="2" t="str">
        <f aca="false">IF((E115="a"),H115," ")</f>
        <v> </v>
      </c>
      <c r="P115" s="2" t="str">
        <f aca="false">IF((E115="b"),H115," ")</f>
        <v> </v>
      </c>
      <c r="Q115" s="2" t="str">
        <f aca="false">IF((E115="c"),H115," ")</f>
        <v> </v>
      </c>
      <c r="R115" s="2" t="str">
        <f aca="false">IF((E115="d"),H115," ")</f>
        <v> </v>
      </c>
      <c r="S115" s="2" t="str">
        <f aca="false">IF((E115="g"),H115," ")</f>
        <v> </v>
      </c>
      <c r="T115" s="2" t="str">
        <f aca="false">IF((E115="o"),H115," ")</f>
        <v> </v>
      </c>
      <c r="U115" s="2" t="str">
        <f aca="false">IF((E115="FS"),H115," ")</f>
        <v> </v>
      </c>
    </row>
    <row r="116" customFormat="false" ht="12" hidden="false" customHeight="false" outlineLevel="0" collapsed="false">
      <c r="E116" s="4" t="str">
        <f aca="false">IF((F116&lt;&gt;0),"Enter Letter"," ")</f>
        <v> </v>
      </c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  <c r="O116" s="2" t="str">
        <f aca="false">IF((E116="a"),H116," ")</f>
        <v> </v>
      </c>
      <c r="P116" s="2" t="str">
        <f aca="false">IF((E116="b"),H116," ")</f>
        <v> </v>
      </c>
      <c r="Q116" s="2" t="str">
        <f aca="false">IF((E116="c"),H116," ")</f>
        <v> </v>
      </c>
      <c r="R116" s="2" t="str">
        <f aca="false">IF((E116="d"),H116," ")</f>
        <v> </v>
      </c>
      <c r="S116" s="2" t="str">
        <f aca="false">IF((E116="g"),H116," ")</f>
        <v> </v>
      </c>
      <c r="T116" s="2" t="str">
        <f aca="false">IF((E116="o"),H116," ")</f>
        <v> </v>
      </c>
      <c r="U116" s="2" t="str">
        <f aca="false">IF((E116="FS"),H116," ")</f>
        <v> </v>
      </c>
    </row>
    <row r="117" customFormat="false" ht="12" hidden="false" customHeight="false" outlineLevel="0" collapsed="false">
      <c r="E117" s="4" t="str">
        <f aca="false">IF((F117&lt;&gt;0),"Enter Letter"," ")</f>
        <v> </v>
      </c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  <c r="O117" s="2" t="str">
        <f aca="false">IF((E117="a"),H117," ")</f>
        <v> </v>
      </c>
      <c r="P117" s="2" t="str">
        <f aca="false">IF((E117="b"),H117," ")</f>
        <v> </v>
      </c>
      <c r="Q117" s="2" t="str">
        <f aca="false">IF((E117="c"),H117," ")</f>
        <v> </v>
      </c>
      <c r="R117" s="2" t="str">
        <f aca="false">IF((E117="d"),H117," ")</f>
        <v> </v>
      </c>
      <c r="S117" s="2" t="str">
        <f aca="false">IF((E117="g"),H117," ")</f>
        <v> </v>
      </c>
      <c r="T117" s="2" t="str">
        <f aca="false">IF((E117="o"),H117," ")</f>
        <v> </v>
      </c>
      <c r="U117" s="2" t="str">
        <f aca="false">IF((E117="FS"),H117," ")</f>
        <v> </v>
      </c>
    </row>
    <row r="118" customFormat="false" ht="12" hidden="false" customHeight="false" outlineLevel="0" collapsed="false">
      <c r="E118" s="4" t="str">
        <f aca="false">IF((F118&lt;&gt;0),"Enter Letter"," ")</f>
        <v> </v>
      </c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  <c r="O118" s="2" t="str">
        <f aca="false">IF((E118="a"),H118," ")</f>
        <v> </v>
      </c>
      <c r="P118" s="2" t="str">
        <f aca="false">IF((E118="b"),H118," ")</f>
        <v> </v>
      </c>
      <c r="Q118" s="2" t="str">
        <f aca="false">IF((E118="c"),H118," ")</f>
        <v> </v>
      </c>
      <c r="R118" s="2" t="str">
        <f aca="false">IF((E118="d"),H118," ")</f>
        <v> </v>
      </c>
      <c r="S118" s="2" t="str">
        <f aca="false">IF((E118="g"),H118," ")</f>
        <v> </v>
      </c>
      <c r="T118" s="2" t="str">
        <f aca="false">IF((E118="o"),H118," ")</f>
        <v> </v>
      </c>
      <c r="U118" s="2" t="str">
        <f aca="false">IF((E118="FS"),H118," ")</f>
        <v> </v>
      </c>
    </row>
    <row r="119" customFormat="false" ht="12" hidden="false" customHeight="false" outlineLevel="0" collapsed="false">
      <c r="E119" s="4" t="str">
        <f aca="false">IF((F119&lt;&gt;0),"Enter Letter"," ")</f>
        <v> </v>
      </c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  <c r="O119" s="2" t="str">
        <f aca="false">IF((E119="a"),H119," ")</f>
        <v> </v>
      </c>
      <c r="P119" s="2" t="str">
        <f aca="false">IF((E119="b"),H119," ")</f>
        <v> </v>
      </c>
      <c r="Q119" s="2" t="str">
        <f aca="false">IF((E119="c"),H119," ")</f>
        <v> </v>
      </c>
      <c r="R119" s="2" t="str">
        <f aca="false">IF((E119="d"),H119," ")</f>
        <v> </v>
      </c>
      <c r="S119" s="2" t="str">
        <f aca="false">IF((E119="g"),H119," ")</f>
        <v> </v>
      </c>
      <c r="T119" s="2" t="str">
        <f aca="false">IF((E119="o"),H119," ")</f>
        <v> </v>
      </c>
      <c r="U119" s="2" t="str">
        <f aca="false">IF((E119="FS"),H119," ")</f>
        <v> </v>
      </c>
    </row>
    <row r="120" customFormat="false" ht="12" hidden="false" customHeight="false" outlineLevel="0" collapsed="false">
      <c r="E120" s="4" t="str">
        <f aca="false">IF((F120&lt;&gt;0),"Enter Letter"," ")</f>
        <v> </v>
      </c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  <c r="O120" s="2" t="str">
        <f aca="false">IF((E120="a"),H120," ")</f>
        <v> </v>
      </c>
      <c r="P120" s="2" t="str">
        <f aca="false">IF((E120="b"),H120," ")</f>
        <v> </v>
      </c>
      <c r="Q120" s="2" t="str">
        <f aca="false">IF((E120="c"),H120," ")</f>
        <v> </v>
      </c>
      <c r="R120" s="2" t="str">
        <f aca="false">IF((E120="d"),H120," ")</f>
        <v> </v>
      </c>
      <c r="S120" s="2" t="str">
        <f aca="false">IF((E120="g"),H120," ")</f>
        <v> </v>
      </c>
      <c r="T120" s="2" t="str">
        <f aca="false">IF((E120="o"),H120," ")</f>
        <v> </v>
      </c>
      <c r="U120" s="2" t="str">
        <f aca="false">IF((E120="FS"),H120," ")</f>
        <v> </v>
      </c>
    </row>
    <row r="121" customFormat="false" ht="12" hidden="false" customHeight="false" outlineLevel="0" collapsed="false">
      <c r="E121" s="4" t="str">
        <f aca="false">IF((F121&lt;&gt;0),"Enter Letter"," ")</f>
        <v> </v>
      </c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  <c r="O121" s="2" t="str">
        <f aca="false">IF((E121="a"),H121," ")</f>
        <v> </v>
      </c>
      <c r="P121" s="2" t="str">
        <f aca="false">IF((E121="b"),H121," ")</f>
        <v> </v>
      </c>
      <c r="Q121" s="2" t="str">
        <f aca="false">IF((E121="c"),H121," ")</f>
        <v> </v>
      </c>
      <c r="R121" s="2" t="str">
        <f aca="false">IF((E121="d"),H121," ")</f>
        <v> </v>
      </c>
      <c r="S121" s="2" t="str">
        <f aca="false">IF((E121="g"),H121," ")</f>
        <v> </v>
      </c>
      <c r="T121" s="2" t="str">
        <f aca="false">IF((E121="o"),H121," ")</f>
        <v> </v>
      </c>
      <c r="U121" s="2" t="str">
        <f aca="false">IF((E121="FS"),H121," ")</f>
        <v> </v>
      </c>
    </row>
    <row r="122" customFormat="false" ht="12" hidden="false" customHeight="false" outlineLevel="0" collapsed="false">
      <c r="E122" s="4" t="str">
        <f aca="false">IF((F122&lt;&gt;0),"Enter Letter"," ")</f>
        <v> </v>
      </c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  <c r="O122" s="2" t="str">
        <f aca="false">IF((E122="a"),H122," ")</f>
        <v> </v>
      </c>
      <c r="P122" s="2" t="str">
        <f aca="false">IF((E122="b"),H122," ")</f>
        <v> </v>
      </c>
      <c r="Q122" s="2" t="str">
        <f aca="false">IF((E122="c"),H122," ")</f>
        <v> </v>
      </c>
      <c r="R122" s="2" t="str">
        <f aca="false">IF((E122="d"),H122," ")</f>
        <v> </v>
      </c>
      <c r="S122" s="2" t="str">
        <f aca="false">IF((E122="g"),H122," ")</f>
        <v> </v>
      </c>
      <c r="T122" s="2" t="str">
        <f aca="false">IF((E122="o"),H122," ")</f>
        <v> </v>
      </c>
      <c r="U122" s="2" t="str">
        <f aca="false">IF((E122="FS"),H122," ")</f>
        <v> </v>
      </c>
    </row>
    <row r="123" customFormat="false" ht="12" hidden="false" customHeight="false" outlineLevel="0" collapsed="false">
      <c r="E123" s="4" t="str">
        <f aca="false">IF((F123&lt;&gt;0),"Enter Letter"," ")</f>
        <v> </v>
      </c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  <c r="O123" s="2" t="str">
        <f aca="false">IF((E123="a"),H123," ")</f>
        <v> </v>
      </c>
      <c r="P123" s="2" t="str">
        <f aca="false">IF((E123="b"),H123," ")</f>
        <v> </v>
      </c>
      <c r="Q123" s="2" t="str">
        <f aca="false">IF((E123="c"),H123," ")</f>
        <v> </v>
      </c>
      <c r="R123" s="2" t="str">
        <f aca="false">IF((E123="d"),H123," ")</f>
        <v> </v>
      </c>
      <c r="S123" s="2" t="str">
        <f aca="false">IF((E123="g"),H123," ")</f>
        <v> </v>
      </c>
      <c r="T123" s="2" t="str">
        <f aca="false">IF((E123="o"),H123," ")</f>
        <v> </v>
      </c>
      <c r="U123" s="2" t="str">
        <f aca="false">IF((E123="FS"),H123," ")</f>
        <v> </v>
      </c>
    </row>
    <row r="124" customFormat="false" ht="12" hidden="false" customHeight="false" outlineLevel="0" collapsed="false">
      <c r="E124" s="4" t="str">
        <f aca="false">IF((F124&lt;&gt;0),"Enter Letter"," ")</f>
        <v> </v>
      </c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  <c r="O124" s="2" t="str">
        <f aca="false">IF((E124="a"),H124," ")</f>
        <v> </v>
      </c>
      <c r="P124" s="2" t="str">
        <f aca="false">IF((E124="b"),H124," ")</f>
        <v> </v>
      </c>
      <c r="Q124" s="2" t="str">
        <f aca="false">IF((E124="c"),H124," ")</f>
        <v> </v>
      </c>
      <c r="R124" s="2" t="str">
        <f aca="false">IF((E124="d"),H124," ")</f>
        <v> </v>
      </c>
      <c r="S124" s="2" t="str">
        <f aca="false">IF((E124="g"),H124," ")</f>
        <v> </v>
      </c>
      <c r="T124" s="2" t="str">
        <f aca="false">IF((E124="o"),H124," ")</f>
        <v> </v>
      </c>
      <c r="U124" s="2" t="str">
        <f aca="false">IF((E124="FS"),H124," ")</f>
        <v> </v>
      </c>
    </row>
    <row r="125" customFormat="false" ht="12" hidden="false" customHeight="false" outlineLevel="0" collapsed="false">
      <c r="E125" s="4" t="str">
        <f aca="false">IF((F125&lt;&gt;0),"Enter Letter"," ")</f>
        <v> </v>
      </c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  <c r="O125" s="2" t="str">
        <f aca="false">IF((E125="a"),H125," ")</f>
        <v> </v>
      </c>
      <c r="P125" s="2" t="str">
        <f aca="false">IF((E125="b"),H125," ")</f>
        <v> </v>
      </c>
      <c r="Q125" s="2" t="str">
        <f aca="false">IF((E125="c"),H125," ")</f>
        <v> </v>
      </c>
      <c r="R125" s="2" t="str">
        <f aca="false">IF((E125="d"),H125," ")</f>
        <v> </v>
      </c>
      <c r="S125" s="2" t="str">
        <f aca="false">IF((E125="g"),H125," ")</f>
        <v> </v>
      </c>
      <c r="T125" s="2" t="str">
        <f aca="false">IF((E125="o"),H125," ")</f>
        <v> </v>
      </c>
      <c r="U125" s="2" t="str">
        <f aca="false">IF((E125="FS"),H125," ")</f>
        <v> </v>
      </c>
    </row>
    <row r="126" customFormat="false" ht="12" hidden="false" customHeight="false" outlineLevel="0" collapsed="false">
      <c r="E126" s="4" t="str">
        <f aca="false">IF((F126&lt;&gt;0),"Enter Letter"," ")</f>
        <v> </v>
      </c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  <c r="O126" s="2" t="str">
        <f aca="false">IF((E126="a"),H126," ")</f>
        <v> </v>
      </c>
      <c r="P126" s="2" t="str">
        <f aca="false">IF((E126="b"),H126," ")</f>
        <v> </v>
      </c>
      <c r="Q126" s="2" t="str">
        <f aca="false">IF((E126="c"),H126," ")</f>
        <v> </v>
      </c>
      <c r="R126" s="2" t="str">
        <f aca="false">IF((E126="d"),H126," ")</f>
        <v> </v>
      </c>
      <c r="S126" s="2" t="str">
        <f aca="false">IF((E126="g"),H126," ")</f>
        <v> </v>
      </c>
      <c r="T126" s="2" t="str">
        <f aca="false">IF((E126="o"),H126," ")</f>
        <v> </v>
      </c>
      <c r="U126" s="2" t="str">
        <f aca="false">IF((E126="FS"),H126," ")</f>
        <v> </v>
      </c>
    </row>
    <row r="127" customFormat="false" ht="12" hidden="false" customHeight="false" outlineLevel="0" collapsed="false">
      <c r="E127" s="4" t="str">
        <f aca="false">IF((F127&lt;&gt;0),"Enter Letter"," ")</f>
        <v> </v>
      </c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  <c r="O127" s="2" t="str">
        <f aca="false">IF((E127="a"),H127," ")</f>
        <v> </v>
      </c>
      <c r="P127" s="2" t="str">
        <f aca="false">IF((E127="b"),H127," ")</f>
        <v> </v>
      </c>
      <c r="Q127" s="2" t="str">
        <f aca="false">IF((E127="c"),H127," ")</f>
        <v> </v>
      </c>
      <c r="R127" s="2" t="str">
        <f aca="false">IF((E127="d"),H127," ")</f>
        <v> </v>
      </c>
      <c r="S127" s="2" t="str">
        <f aca="false">IF((E127="g"),H127," ")</f>
        <v> </v>
      </c>
      <c r="T127" s="2" t="str">
        <f aca="false">IF((E127="o"),H127," ")</f>
        <v> </v>
      </c>
      <c r="U127" s="2" t="str">
        <f aca="false">IF((E127="FS"),H127," ")</f>
        <v> </v>
      </c>
    </row>
    <row r="128" customFormat="false" ht="12" hidden="false" customHeight="false" outlineLevel="0" collapsed="false">
      <c r="E128" s="4" t="str">
        <f aca="false">IF((F128&lt;&gt;0),"Enter Letter"," ")</f>
        <v> </v>
      </c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  <c r="O128" s="2" t="str">
        <f aca="false">IF((E128="a"),H128," ")</f>
        <v> </v>
      </c>
      <c r="P128" s="2" t="str">
        <f aca="false">IF((E128="b"),H128," ")</f>
        <v> </v>
      </c>
      <c r="Q128" s="2" t="str">
        <f aca="false">IF((E128="c"),H128," ")</f>
        <v> </v>
      </c>
      <c r="R128" s="2" t="str">
        <f aca="false">IF((E128="d"),H128," ")</f>
        <v> </v>
      </c>
      <c r="S128" s="2" t="str">
        <f aca="false">IF((E128="g"),H128," ")</f>
        <v> </v>
      </c>
      <c r="T128" s="2" t="str">
        <f aca="false">IF((E128="o"),H128," ")</f>
        <v> </v>
      </c>
      <c r="U128" s="2" t="str">
        <f aca="false">IF((E128="FS"),H128," ")</f>
        <v> </v>
      </c>
    </row>
    <row r="129" customFormat="false" ht="12" hidden="false" customHeight="false" outlineLevel="0" collapsed="false">
      <c r="E129" s="4" t="str">
        <f aca="false">IF((F129&lt;&gt;0),"Enter Letter"," ")</f>
        <v> </v>
      </c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  <c r="O129" s="2" t="str">
        <f aca="false">IF((E129="a"),H129," ")</f>
        <v> </v>
      </c>
      <c r="P129" s="2" t="str">
        <f aca="false">IF((E129="b"),H129," ")</f>
        <v> </v>
      </c>
      <c r="Q129" s="2" t="str">
        <f aca="false">IF((E129="c"),H129," ")</f>
        <v> </v>
      </c>
      <c r="R129" s="2" t="str">
        <f aca="false">IF((E129="d"),H129," ")</f>
        <v> </v>
      </c>
      <c r="S129" s="2" t="str">
        <f aca="false">IF((E129="g"),H129," ")</f>
        <v> </v>
      </c>
      <c r="T129" s="2" t="str">
        <f aca="false">IF((E129="o"),H129," ")</f>
        <v> </v>
      </c>
      <c r="U129" s="2" t="str">
        <f aca="false">IF((E129="FS"),H129," ")</f>
        <v> </v>
      </c>
    </row>
    <row r="130" customFormat="false" ht="12" hidden="false" customHeight="false" outlineLevel="0" collapsed="false">
      <c r="E130" s="4" t="str">
        <f aca="false">IF((F130&lt;&gt;0),"Enter Letter"," ")</f>
        <v> </v>
      </c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  <c r="O130" s="2" t="str">
        <f aca="false">IF((E130="a"),H130," ")</f>
        <v> </v>
      </c>
      <c r="P130" s="2" t="str">
        <f aca="false">IF((E130="b"),H130," ")</f>
        <v> </v>
      </c>
      <c r="Q130" s="2" t="str">
        <f aca="false">IF((E130="c"),H130," ")</f>
        <v> </v>
      </c>
      <c r="R130" s="2" t="str">
        <f aca="false">IF((E130="d"),H130," ")</f>
        <v> </v>
      </c>
      <c r="S130" s="2" t="str">
        <f aca="false">IF((E130="g"),H130," ")</f>
        <v> </v>
      </c>
      <c r="T130" s="2" t="str">
        <f aca="false">IF((E130="o"),H130," ")</f>
        <v> </v>
      </c>
      <c r="U130" s="2" t="str">
        <f aca="false">IF((E130="FS"),H130," ")</f>
        <v> </v>
      </c>
    </row>
    <row r="131" customFormat="false" ht="12" hidden="false" customHeight="false" outlineLevel="0" collapsed="false">
      <c r="E131" s="4" t="str">
        <f aca="false">IF((F131&lt;&gt;0),"Enter Letter"," ")</f>
        <v> </v>
      </c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  <c r="O131" s="2" t="str">
        <f aca="false">IF((E131="a"),H131," ")</f>
        <v> </v>
      </c>
      <c r="P131" s="2" t="str">
        <f aca="false">IF((E131="b"),H131," ")</f>
        <v> </v>
      </c>
      <c r="Q131" s="2" t="str">
        <f aca="false">IF((E131="c"),H131," ")</f>
        <v> </v>
      </c>
      <c r="R131" s="2" t="str">
        <f aca="false">IF((E131="d"),H131," ")</f>
        <v> </v>
      </c>
      <c r="S131" s="2" t="str">
        <f aca="false">IF((E131="g"),H131," ")</f>
        <v> </v>
      </c>
      <c r="T131" s="2" t="str">
        <f aca="false">IF((E131="o"),H131," ")</f>
        <v> </v>
      </c>
      <c r="U131" s="2" t="str">
        <f aca="false">IF((E131="FS"),H131," ")</f>
        <v> </v>
      </c>
    </row>
    <row r="132" customFormat="false" ht="12" hidden="false" customHeight="false" outlineLevel="0" collapsed="false">
      <c r="E132" s="4" t="str">
        <f aca="false">IF((F132&lt;&gt;0),"Enter Letter"," ")</f>
        <v> </v>
      </c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  <c r="O132" s="2" t="str">
        <f aca="false">IF((E132="a"),H132," ")</f>
        <v> </v>
      </c>
      <c r="P132" s="2" t="str">
        <f aca="false">IF((E132="b"),H132," ")</f>
        <v> </v>
      </c>
      <c r="Q132" s="2" t="str">
        <f aca="false">IF((E132="c"),H132," ")</f>
        <v> </v>
      </c>
      <c r="R132" s="2" t="str">
        <f aca="false">IF((E132="d"),H132," ")</f>
        <v> </v>
      </c>
      <c r="S132" s="2" t="str">
        <f aca="false">IF((E132="g"),H132," ")</f>
        <v> </v>
      </c>
      <c r="T132" s="2" t="str">
        <f aca="false">IF((E132="o"),H132," ")</f>
        <v> </v>
      </c>
      <c r="U132" s="2" t="str">
        <f aca="false">IF((E132="FS"),H132," ")</f>
        <v> </v>
      </c>
    </row>
    <row r="133" customFormat="false" ht="12" hidden="false" customHeight="false" outlineLevel="0" collapsed="false">
      <c r="E133" s="4" t="str">
        <f aca="false">IF((F133&lt;&gt;0),"Enter Letter"," ")</f>
        <v> </v>
      </c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  <c r="O133" s="2" t="str">
        <f aca="false">IF((E133="a"),H133," ")</f>
        <v> </v>
      </c>
      <c r="P133" s="2" t="str">
        <f aca="false">IF((E133="b"),H133," ")</f>
        <v> </v>
      </c>
      <c r="Q133" s="2" t="str">
        <f aca="false">IF((E133="c"),H133," ")</f>
        <v> </v>
      </c>
      <c r="R133" s="2" t="str">
        <f aca="false">IF((E133="d"),H133," ")</f>
        <v> </v>
      </c>
      <c r="S133" s="2" t="str">
        <f aca="false">IF((E133="g"),H133," ")</f>
        <v> </v>
      </c>
      <c r="T133" s="2" t="str">
        <f aca="false">IF((E133="o"),H133," ")</f>
        <v> </v>
      </c>
      <c r="U133" s="2" t="str">
        <f aca="false">IF((E133="FS"),H133," ")</f>
        <v> </v>
      </c>
    </row>
    <row r="134" customFormat="false" ht="12" hidden="false" customHeight="false" outlineLevel="0" collapsed="false">
      <c r="E134" s="4" t="str">
        <f aca="false">IF((F134&lt;&gt;0),"Enter Letter"," ")</f>
        <v> </v>
      </c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  <c r="O134" s="2" t="str">
        <f aca="false">IF((E134="a"),H134," ")</f>
        <v> </v>
      </c>
      <c r="P134" s="2" t="str">
        <f aca="false">IF((E134="b"),H134," ")</f>
        <v> </v>
      </c>
      <c r="Q134" s="2" t="str">
        <f aca="false">IF((E134="c"),H134," ")</f>
        <v> </v>
      </c>
      <c r="R134" s="2" t="str">
        <f aca="false">IF((E134="d"),H134," ")</f>
        <v> </v>
      </c>
      <c r="S134" s="2" t="str">
        <f aca="false">IF((E134="g"),H134," ")</f>
        <v> </v>
      </c>
      <c r="T134" s="2" t="str">
        <f aca="false">IF((E134="o"),H134," ")</f>
        <v> </v>
      </c>
      <c r="U134" s="2" t="str">
        <f aca="false">IF((E134="FS"),H134," ")</f>
        <v> </v>
      </c>
    </row>
    <row r="135" customFormat="false" ht="12" hidden="false" customHeight="false" outlineLevel="0" collapsed="false">
      <c r="E135" s="4" t="str">
        <f aca="false">IF((F135&lt;&gt;0),"Enter Letter"," ")</f>
        <v> </v>
      </c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  <c r="O135" s="2" t="str">
        <f aca="false">IF((E135="a"),H135," ")</f>
        <v> </v>
      </c>
      <c r="P135" s="2" t="str">
        <f aca="false">IF((E135="b"),H135," ")</f>
        <v> </v>
      </c>
      <c r="Q135" s="2" t="str">
        <f aca="false">IF((E135="c"),H135," ")</f>
        <v> </v>
      </c>
      <c r="R135" s="2" t="str">
        <f aca="false">IF((E135="d"),H135," ")</f>
        <v> </v>
      </c>
      <c r="S135" s="2" t="str">
        <f aca="false">IF((E135="g"),H135," ")</f>
        <v> </v>
      </c>
      <c r="T135" s="2" t="str">
        <f aca="false">IF((E135="o"),H135," ")</f>
        <v> </v>
      </c>
      <c r="U135" s="2" t="str">
        <f aca="false">IF((E135="FS"),H135," ")</f>
        <v> </v>
      </c>
    </row>
    <row r="136" customFormat="false" ht="12" hidden="false" customHeight="false" outlineLevel="0" collapsed="false">
      <c r="E136" s="4" t="str">
        <f aca="false">IF((F136&lt;&gt;0),"Enter Letter"," ")</f>
        <v> </v>
      </c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  <c r="O136" s="2" t="str">
        <f aca="false">IF((E136="a"),H136," ")</f>
        <v> </v>
      </c>
      <c r="P136" s="2" t="str">
        <f aca="false">IF((E136="b"),H136," ")</f>
        <v> </v>
      </c>
      <c r="Q136" s="2" t="str">
        <f aca="false">IF((E136="c"),H136," ")</f>
        <v> </v>
      </c>
      <c r="R136" s="2" t="str">
        <f aca="false">IF((E136="d"),H136," ")</f>
        <v> </v>
      </c>
      <c r="S136" s="2" t="str">
        <f aca="false">IF((E136="g"),H136," ")</f>
        <v> </v>
      </c>
      <c r="T136" s="2" t="str">
        <f aca="false">IF((E136="o"),H136," ")</f>
        <v> </v>
      </c>
      <c r="U136" s="2" t="str">
        <f aca="false">IF((E136="FS"),H136," ")</f>
        <v> </v>
      </c>
    </row>
    <row r="137" customFormat="false" ht="12" hidden="false" customHeight="false" outlineLevel="0" collapsed="false">
      <c r="E137" s="4" t="str">
        <f aca="false">IF((F137&lt;&gt;0),"Enter Letter"," ")</f>
        <v> </v>
      </c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  <c r="O137" s="2" t="str">
        <f aca="false">IF((E137="a"),H137," ")</f>
        <v> </v>
      </c>
      <c r="P137" s="2" t="str">
        <f aca="false">IF((E137="b"),H137," ")</f>
        <v> </v>
      </c>
      <c r="Q137" s="2" t="str">
        <f aca="false">IF((E137="c"),H137," ")</f>
        <v> </v>
      </c>
      <c r="R137" s="2" t="str">
        <f aca="false">IF((E137="d"),H137," ")</f>
        <v> </v>
      </c>
      <c r="S137" s="2" t="str">
        <f aca="false">IF((E137="g"),H137," ")</f>
        <v> </v>
      </c>
      <c r="T137" s="2" t="str">
        <f aca="false">IF((E137="o"),H137," ")</f>
        <v> </v>
      </c>
      <c r="U137" s="2" t="str">
        <f aca="false">IF((E137="FS"),H137," ")</f>
        <v> </v>
      </c>
    </row>
    <row r="138" customFormat="false" ht="12" hidden="false" customHeight="false" outlineLevel="0" collapsed="false">
      <c r="E138" s="4" t="str">
        <f aca="false">IF((F138&lt;&gt;0),"Enter Letter"," ")</f>
        <v> </v>
      </c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  <c r="O138" s="2" t="str">
        <f aca="false">IF((E138="a"),H138," ")</f>
        <v> </v>
      </c>
      <c r="P138" s="2" t="str">
        <f aca="false">IF((E138="b"),H138," ")</f>
        <v> </v>
      </c>
      <c r="Q138" s="2" t="str">
        <f aca="false">IF((E138="c"),H138," ")</f>
        <v> </v>
      </c>
      <c r="R138" s="2" t="str">
        <f aca="false">IF((E138="d"),H138," ")</f>
        <v> </v>
      </c>
      <c r="S138" s="2" t="str">
        <f aca="false">IF((E138="g"),H138," ")</f>
        <v> </v>
      </c>
      <c r="T138" s="2" t="str">
        <f aca="false">IF((E138="o"),H138," ")</f>
        <v> </v>
      </c>
      <c r="U138" s="2" t="str">
        <f aca="false">IF((E138="FS"),H138," ")</f>
        <v> </v>
      </c>
    </row>
    <row r="139" customFormat="false" ht="12" hidden="false" customHeight="false" outlineLevel="0" collapsed="false">
      <c r="E139" s="4" t="str">
        <f aca="false">IF((F139&lt;&gt;0),"Enter Letter"," ")</f>
        <v> </v>
      </c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  <c r="O139" s="2" t="str">
        <f aca="false">IF((E139="a"),H139," ")</f>
        <v> </v>
      </c>
      <c r="P139" s="2" t="str">
        <f aca="false">IF((E139="b"),H139," ")</f>
        <v> </v>
      </c>
      <c r="Q139" s="2" t="str">
        <f aca="false">IF((E139="c"),H139," ")</f>
        <v> </v>
      </c>
      <c r="R139" s="2" t="str">
        <f aca="false">IF((E139="d"),H139," ")</f>
        <v> </v>
      </c>
      <c r="S139" s="2" t="str">
        <f aca="false">IF((E139="g"),H139," ")</f>
        <v> </v>
      </c>
      <c r="T139" s="2" t="str">
        <f aca="false">IF((E139="o"),H139," ")</f>
        <v> </v>
      </c>
      <c r="U139" s="2" t="str">
        <f aca="false">IF((E139="FS"),H139," ")</f>
        <v> </v>
      </c>
    </row>
    <row r="140" customFormat="false" ht="12" hidden="false" customHeight="false" outlineLevel="0" collapsed="false">
      <c r="E140" s="4" t="str">
        <f aca="false">IF((F140&lt;&gt;0),"Enter Letter"," ")</f>
        <v> </v>
      </c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  <c r="O140" s="2" t="str">
        <f aca="false">IF((E140="a"),H140," ")</f>
        <v> </v>
      </c>
      <c r="P140" s="2" t="str">
        <f aca="false">IF((E140="b"),H140," ")</f>
        <v> </v>
      </c>
      <c r="Q140" s="2" t="str">
        <f aca="false">IF((E140="c"),H140," ")</f>
        <v> </v>
      </c>
      <c r="R140" s="2" t="str">
        <f aca="false">IF((E140="d"),H140," ")</f>
        <v> </v>
      </c>
      <c r="S140" s="2" t="str">
        <f aca="false">IF((E140="g"),H140," ")</f>
        <v> </v>
      </c>
      <c r="T140" s="2" t="str">
        <f aca="false">IF((E140="o"),H140," ")</f>
        <v> </v>
      </c>
      <c r="U140" s="2" t="str">
        <f aca="false">IF((E140="FS"),H140," ")</f>
        <v> </v>
      </c>
    </row>
    <row r="141" customFormat="false" ht="12" hidden="false" customHeight="false" outlineLevel="0" collapsed="false">
      <c r="E141" s="4" t="str">
        <f aca="false">IF((F141&lt;&gt;0),"Enter Letter"," ")</f>
        <v> </v>
      </c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  <c r="O141" s="2" t="str">
        <f aca="false">IF((E141="a"),H141," ")</f>
        <v> </v>
      </c>
      <c r="P141" s="2" t="str">
        <f aca="false">IF((E141="b"),H141," ")</f>
        <v> </v>
      </c>
      <c r="Q141" s="2" t="str">
        <f aca="false">IF((E141="c"),H141," ")</f>
        <v> </v>
      </c>
      <c r="R141" s="2" t="str">
        <f aca="false">IF((E141="d"),H141," ")</f>
        <v> </v>
      </c>
      <c r="S141" s="2" t="str">
        <f aca="false">IF((E141="g"),H141," ")</f>
        <v> </v>
      </c>
      <c r="T141" s="2" t="str">
        <f aca="false">IF((E141="o"),H141," ")</f>
        <v> </v>
      </c>
      <c r="U141" s="2" t="str">
        <f aca="false">IF((E141="FS"),H141," ")</f>
        <v> </v>
      </c>
    </row>
    <row r="142" customFormat="false" ht="12" hidden="false" customHeight="false" outlineLevel="0" collapsed="false">
      <c r="E142" s="4" t="str">
        <f aca="false">IF((F142&lt;&gt;0),"Enter Letter"," ")</f>
        <v> </v>
      </c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  <c r="O142" s="2" t="str">
        <f aca="false">IF((E142="a"),H142," ")</f>
        <v> </v>
      </c>
      <c r="P142" s="2" t="str">
        <f aca="false">IF((E142="b"),H142," ")</f>
        <v> </v>
      </c>
      <c r="Q142" s="2" t="str">
        <f aca="false">IF((E142="c"),H142," ")</f>
        <v> </v>
      </c>
      <c r="R142" s="2" t="str">
        <f aca="false">IF((E142="d"),H142," ")</f>
        <v> </v>
      </c>
      <c r="S142" s="2" t="str">
        <f aca="false">IF((E142="g"),H142," ")</f>
        <v> </v>
      </c>
      <c r="T142" s="2" t="str">
        <f aca="false">IF((E142="o"),H142," ")</f>
        <v> </v>
      </c>
      <c r="U142" s="2" t="str">
        <f aca="false">IF((E142="FS"),H142," ")</f>
        <v> </v>
      </c>
    </row>
    <row r="143" customFormat="false" ht="12" hidden="false" customHeight="false" outlineLevel="0" collapsed="false">
      <c r="E143" s="4" t="str">
        <f aca="false">IF((F143&lt;&gt;0),"Enter Letter"," ")</f>
        <v> </v>
      </c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  <c r="O143" s="2" t="str">
        <f aca="false">IF((E143="a"),H143," ")</f>
        <v> </v>
      </c>
      <c r="P143" s="2" t="str">
        <f aca="false">IF((E143="b"),H143," ")</f>
        <v> </v>
      </c>
      <c r="Q143" s="2" t="str">
        <f aca="false">IF((E143="c"),H143," ")</f>
        <v> </v>
      </c>
      <c r="R143" s="2" t="str">
        <f aca="false">IF((E143="d"),H143," ")</f>
        <v> </v>
      </c>
      <c r="S143" s="2" t="str">
        <f aca="false">IF((E143="g"),H143," ")</f>
        <v> </v>
      </c>
      <c r="T143" s="2" t="str">
        <f aca="false">IF((E143="o"),H143," ")</f>
        <v> </v>
      </c>
      <c r="U143" s="2" t="str">
        <f aca="false">IF((E143="FS"),H143," ")</f>
        <v> </v>
      </c>
    </row>
    <row r="144" customFormat="false" ht="12" hidden="false" customHeight="false" outlineLevel="0" collapsed="false">
      <c r="E144" s="4" t="str">
        <f aca="false">IF((F144&lt;&gt;0),"Enter Letter"," ")</f>
        <v> </v>
      </c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  <c r="O144" s="2" t="str">
        <f aca="false">IF((E144="a"),H144," ")</f>
        <v> </v>
      </c>
      <c r="P144" s="2" t="str">
        <f aca="false">IF((E144="b"),H144," ")</f>
        <v> </v>
      </c>
      <c r="Q144" s="2" t="str">
        <f aca="false">IF((E144="c"),H144," ")</f>
        <v> </v>
      </c>
      <c r="R144" s="2" t="str">
        <f aca="false">IF((E144="d"),H144," ")</f>
        <v> </v>
      </c>
      <c r="S144" s="2" t="str">
        <f aca="false">IF((E144="g"),H144," ")</f>
        <v> </v>
      </c>
      <c r="T144" s="2" t="str">
        <f aca="false">IF((E144="o"),H144," ")</f>
        <v> </v>
      </c>
      <c r="U144" s="2" t="str">
        <f aca="false">IF((E144="FS"),H144," ")</f>
        <v> </v>
      </c>
    </row>
    <row r="145" customFormat="false" ht="12" hidden="false" customHeight="false" outlineLevel="0" collapsed="false">
      <c r="E145" s="4" t="str">
        <f aca="false">IF((F145&lt;&gt;0),"Enter Letter"," ")</f>
        <v> </v>
      </c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  <c r="O145" s="2" t="str">
        <f aca="false">IF((E145="a"),H145," ")</f>
        <v> </v>
      </c>
      <c r="P145" s="2" t="str">
        <f aca="false">IF((E145="b"),H145," ")</f>
        <v> </v>
      </c>
      <c r="Q145" s="2" t="str">
        <f aca="false">IF((E145="c"),H145," ")</f>
        <v> </v>
      </c>
      <c r="R145" s="2" t="str">
        <f aca="false">IF((E145="d"),H145," ")</f>
        <v> </v>
      </c>
      <c r="S145" s="2" t="str">
        <f aca="false">IF((E145="g"),H145," ")</f>
        <v> </v>
      </c>
      <c r="T145" s="2" t="str">
        <f aca="false">IF((E145="o"),H145," ")</f>
        <v> </v>
      </c>
      <c r="U145" s="2" t="str">
        <f aca="false">IF((E145="FS"),H145," ")</f>
        <v> </v>
      </c>
    </row>
    <row r="146" customFormat="false" ht="12" hidden="false" customHeight="false" outlineLevel="0" collapsed="false">
      <c r="E146" s="4" t="str">
        <f aca="false">IF((F146&lt;&gt;0),"Enter Letter"," ")</f>
        <v> </v>
      </c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  <c r="O146" s="2" t="str">
        <f aca="false">IF((E146="a"),H146," ")</f>
        <v> </v>
      </c>
      <c r="P146" s="2" t="str">
        <f aca="false">IF((E146="b"),H146," ")</f>
        <v> </v>
      </c>
      <c r="Q146" s="2" t="str">
        <f aca="false">IF((E146="c"),H146," ")</f>
        <v> </v>
      </c>
      <c r="R146" s="2" t="str">
        <f aca="false">IF((E146="d"),H146," ")</f>
        <v> </v>
      </c>
      <c r="S146" s="2" t="str">
        <f aca="false">IF((E146="g"),H146," ")</f>
        <v> </v>
      </c>
      <c r="T146" s="2" t="str">
        <f aca="false">IF((E146="o"),H146," ")</f>
        <v> </v>
      </c>
      <c r="U146" s="2" t="str">
        <f aca="false">IF((E146="FS"),H146," ")</f>
        <v> </v>
      </c>
    </row>
    <row r="147" customFormat="false" ht="12" hidden="false" customHeight="false" outlineLevel="0" collapsed="false">
      <c r="E147" s="4" t="str">
        <f aca="false">IF((F147&lt;&gt;0),"Enter Letter"," ")</f>
        <v> </v>
      </c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  <c r="O147" s="2" t="str">
        <f aca="false">IF((E147="a"),H147," ")</f>
        <v> </v>
      </c>
      <c r="P147" s="2" t="str">
        <f aca="false">IF((E147="b"),H147," ")</f>
        <v> </v>
      </c>
      <c r="Q147" s="2" t="str">
        <f aca="false">IF((E147="c"),H147," ")</f>
        <v> </v>
      </c>
      <c r="R147" s="2" t="str">
        <f aca="false">IF((E147="d"),H147," ")</f>
        <v> </v>
      </c>
      <c r="S147" s="2" t="str">
        <f aca="false">IF((E147="g"),H147," ")</f>
        <v> </v>
      </c>
      <c r="T147" s="2" t="str">
        <f aca="false">IF((E147="o"),H147," ")</f>
        <v> </v>
      </c>
      <c r="U147" s="2" t="str">
        <f aca="false">IF((E147="FS"),H147," ")</f>
        <v> </v>
      </c>
    </row>
    <row r="148" customFormat="false" ht="12" hidden="false" customHeight="false" outlineLevel="0" collapsed="false">
      <c r="E148" s="4" t="str">
        <f aca="false">IF((F148&lt;&gt;0),"Enter Letter"," ")</f>
        <v> </v>
      </c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  <c r="O148" s="2" t="str">
        <f aca="false">IF((E148="a"),H148," ")</f>
        <v> </v>
      </c>
      <c r="P148" s="2" t="str">
        <f aca="false">IF((E148="b"),H148," ")</f>
        <v> </v>
      </c>
      <c r="Q148" s="2" t="str">
        <f aca="false">IF((E148="c"),H148," ")</f>
        <v> </v>
      </c>
      <c r="R148" s="2" t="str">
        <f aca="false">IF((E148="d"),H148," ")</f>
        <v> </v>
      </c>
      <c r="S148" s="2" t="str">
        <f aca="false">IF((E148="g"),H148," ")</f>
        <v> </v>
      </c>
      <c r="T148" s="2" t="str">
        <f aca="false">IF((E148="o"),H148," ")</f>
        <v> </v>
      </c>
      <c r="U148" s="2" t="str">
        <f aca="false">IF((E148="FS"),H148," ")</f>
        <v> </v>
      </c>
    </row>
    <row r="149" customFormat="false" ht="12" hidden="false" customHeight="false" outlineLevel="0" collapsed="false">
      <c r="E149" s="4" t="str">
        <f aca="false">IF((F149&lt;&gt;0),"Enter Letter"," ")</f>
        <v> </v>
      </c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  <c r="O149" s="2" t="str">
        <f aca="false">IF((E149="a"),H149," ")</f>
        <v> </v>
      </c>
      <c r="P149" s="2" t="str">
        <f aca="false">IF((E149="b"),H149," ")</f>
        <v> </v>
      </c>
      <c r="Q149" s="2" t="str">
        <f aca="false">IF((E149="c"),H149," ")</f>
        <v> </v>
      </c>
      <c r="R149" s="2" t="str">
        <f aca="false">IF((E149="d"),H149," ")</f>
        <v> </v>
      </c>
      <c r="S149" s="2" t="str">
        <f aca="false">IF((E149="g"),H149," ")</f>
        <v> </v>
      </c>
      <c r="T149" s="2" t="str">
        <f aca="false">IF((E149="o"),H149," ")</f>
        <v> </v>
      </c>
      <c r="U149" s="2" t="str">
        <f aca="false">IF((E149="FS"),H149," ")</f>
        <v> </v>
      </c>
    </row>
    <row r="150" customFormat="false" ht="12" hidden="false" customHeight="false" outlineLevel="0" collapsed="false">
      <c r="E150" s="4" t="str">
        <f aca="false">IF((F150&lt;&gt;0),"Enter Letter"," ")</f>
        <v> </v>
      </c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  <c r="O150" s="2" t="str">
        <f aca="false">IF((E150="a"),H150," ")</f>
        <v> </v>
      </c>
      <c r="P150" s="2" t="str">
        <f aca="false">IF((E150="b"),H150," ")</f>
        <v> </v>
      </c>
      <c r="Q150" s="2" t="str">
        <f aca="false">IF((E150="c"),H150," ")</f>
        <v> </v>
      </c>
      <c r="R150" s="2" t="str">
        <f aca="false">IF((E150="d"),H150," ")</f>
        <v> </v>
      </c>
      <c r="S150" s="2" t="str">
        <f aca="false">IF((E150="g"),H150," ")</f>
        <v> </v>
      </c>
      <c r="T150" s="2" t="str">
        <f aca="false">IF((E150="o"),H150," ")</f>
        <v> </v>
      </c>
      <c r="U150" s="2" t="str">
        <f aca="false">IF((E150="FS"),H150," ")</f>
        <v> </v>
      </c>
    </row>
    <row r="151" customFormat="false" ht="12" hidden="false" customHeight="false" outlineLevel="0" collapsed="false">
      <c r="E151" s="4" t="str">
        <f aca="false">IF((F151&lt;&gt;0),"Enter Letter"," ")</f>
        <v> </v>
      </c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  <c r="O151" s="2" t="str">
        <f aca="false">IF((E151="a"),H151," ")</f>
        <v> </v>
      </c>
      <c r="P151" s="2" t="str">
        <f aca="false">IF((E151="b"),H151," ")</f>
        <v> </v>
      </c>
      <c r="Q151" s="2" t="str">
        <f aca="false">IF((E151="c"),H151," ")</f>
        <v> </v>
      </c>
      <c r="R151" s="2" t="str">
        <f aca="false">IF((E151="d"),H151," ")</f>
        <v> </v>
      </c>
      <c r="S151" s="2" t="str">
        <f aca="false">IF((E151="g"),H151," ")</f>
        <v> </v>
      </c>
      <c r="T151" s="2" t="str">
        <f aca="false">IF((E151="o"),H151," ")</f>
        <v> </v>
      </c>
      <c r="U151" s="2" t="str">
        <f aca="false">IF((E151="FS"),H151," ")</f>
        <v> </v>
      </c>
    </row>
    <row r="152" customFormat="false" ht="12" hidden="false" customHeight="false" outlineLevel="0" collapsed="false">
      <c r="E152" s="4" t="str">
        <f aca="false">IF((F152&lt;&gt;0),"Enter Letter"," ")</f>
        <v> </v>
      </c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  <c r="O152" s="2" t="str">
        <f aca="false">IF((E152="a"),H152," ")</f>
        <v> </v>
      </c>
      <c r="P152" s="2" t="str">
        <f aca="false">IF((E152="b"),H152," ")</f>
        <v> </v>
      </c>
      <c r="Q152" s="2" t="str">
        <f aca="false">IF((E152="c"),H152," ")</f>
        <v> </v>
      </c>
      <c r="R152" s="2" t="str">
        <f aca="false">IF((E152="d"),H152," ")</f>
        <v> </v>
      </c>
      <c r="S152" s="2" t="str">
        <f aca="false">IF((E152="g"),H152," ")</f>
        <v> </v>
      </c>
      <c r="T152" s="2" t="str">
        <f aca="false">IF((E152="o"),H152," ")</f>
        <v> </v>
      </c>
      <c r="U152" s="2" t="str">
        <f aca="false">IF((E152="FS"),H152," ")</f>
        <v> </v>
      </c>
    </row>
    <row r="153" customFormat="false" ht="12" hidden="false" customHeight="false" outlineLevel="0" collapsed="false">
      <c r="E153" s="4" t="str">
        <f aca="false">IF((F153&lt;&gt;0),"Enter Letter"," ")</f>
        <v> </v>
      </c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  <c r="O153" s="2" t="str">
        <f aca="false">IF((E153="a"),H153," ")</f>
        <v> </v>
      </c>
      <c r="P153" s="2" t="str">
        <f aca="false">IF((E153="b"),H153," ")</f>
        <v> </v>
      </c>
      <c r="Q153" s="2" t="str">
        <f aca="false">IF((E153="c"),H153," ")</f>
        <v> </v>
      </c>
      <c r="R153" s="2" t="str">
        <f aca="false">IF((E153="d"),H153," ")</f>
        <v> </v>
      </c>
      <c r="S153" s="2" t="str">
        <f aca="false">IF((E153="g"),H153," ")</f>
        <v> </v>
      </c>
      <c r="T153" s="2" t="str">
        <f aca="false">IF((E153="o"),H153," ")</f>
        <v> </v>
      </c>
      <c r="U153" s="2" t="str">
        <f aca="false">IF((E153="FS"),H153," ")</f>
        <v> </v>
      </c>
    </row>
    <row r="154" customFormat="false" ht="12" hidden="false" customHeight="false" outlineLevel="0" collapsed="false">
      <c r="E154" s="4" t="str">
        <f aca="false">IF((F154&lt;&gt;0),"Enter Letter"," ")</f>
        <v> </v>
      </c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  <c r="O154" s="2" t="str">
        <f aca="false">IF((E154="a"),H154," ")</f>
        <v> </v>
      </c>
      <c r="P154" s="2" t="str">
        <f aca="false">IF((E154="b"),H154," ")</f>
        <v> </v>
      </c>
      <c r="Q154" s="2" t="str">
        <f aca="false">IF((E154="c"),H154," ")</f>
        <v> </v>
      </c>
      <c r="R154" s="2" t="str">
        <f aca="false">IF((E154="d"),H154," ")</f>
        <v> </v>
      </c>
      <c r="S154" s="2" t="str">
        <f aca="false">IF((E154="g"),H154," ")</f>
        <v> </v>
      </c>
      <c r="T154" s="2" t="str">
        <f aca="false">IF((E154="o"),H154," ")</f>
        <v> </v>
      </c>
      <c r="U154" s="2" t="str">
        <f aca="false">IF((E154="FS"),H154," ")</f>
        <v> </v>
      </c>
    </row>
    <row r="155" customFormat="false" ht="12" hidden="false" customHeight="false" outlineLevel="0" collapsed="false">
      <c r="E155" s="4" t="str">
        <f aca="false">IF((F155&lt;&gt;0),"Enter Letter"," ")</f>
        <v> </v>
      </c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  <c r="O155" s="2" t="str">
        <f aca="false">IF((E155="a"),H155," ")</f>
        <v> </v>
      </c>
      <c r="P155" s="2" t="str">
        <f aca="false">IF((E155="b"),H155," ")</f>
        <v> </v>
      </c>
      <c r="Q155" s="2" t="str">
        <f aca="false">IF((E155="c"),H155," ")</f>
        <v> </v>
      </c>
      <c r="R155" s="2" t="str">
        <f aca="false">IF((E155="d"),H155," ")</f>
        <v> </v>
      </c>
      <c r="S155" s="2" t="str">
        <f aca="false">IF((E155="g"),H155," ")</f>
        <v> </v>
      </c>
      <c r="T155" s="2" t="str">
        <f aca="false">IF((E155="o"),H155," ")</f>
        <v> </v>
      </c>
      <c r="U155" s="2" t="str">
        <f aca="false">IF((E155="FS"),H155," ")</f>
        <v> </v>
      </c>
    </row>
    <row r="156" customFormat="false" ht="12" hidden="false" customHeight="false" outlineLevel="0" collapsed="false">
      <c r="E156" s="4" t="str">
        <f aca="false">IF((F156&lt;&gt;0),"Enter Letter"," ")</f>
        <v> </v>
      </c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  <c r="O156" s="2" t="str">
        <f aca="false">IF((E156="a"),H156," ")</f>
        <v> </v>
      </c>
      <c r="P156" s="2" t="str">
        <f aca="false">IF((E156="b"),H156," ")</f>
        <v> </v>
      </c>
      <c r="Q156" s="2" t="str">
        <f aca="false">IF((E156="c"),H156," ")</f>
        <v> </v>
      </c>
      <c r="R156" s="2" t="str">
        <f aca="false">IF((E156="d"),H156," ")</f>
        <v> </v>
      </c>
      <c r="S156" s="2" t="str">
        <f aca="false">IF((E156="g"),H156," ")</f>
        <v> </v>
      </c>
      <c r="T156" s="2" t="str">
        <f aca="false">IF((E156="o"),H156," ")</f>
        <v> </v>
      </c>
      <c r="U156" s="2" t="str">
        <f aca="false">IF((E156="FS"),H156," ")</f>
        <v> </v>
      </c>
    </row>
    <row r="157" customFormat="false" ht="12" hidden="false" customHeight="false" outlineLevel="0" collapsed="false">
      <c r="E157" s="4" t="str">
        <f aca="false">IF((F157&lt;&gt;0),"Enter Letter"," ")</f>
        <v> </v>
      </c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  <c r="O157" s="2" t="str">
        <f aca="false">IF((E157="a"),H157," ")</f>
        <v> </v>
      </c>
      <c r="P157" s="2" t="str">
        <f aca="false">IF((E157="b"),H157," ")</f>
        <v> </v>
      </c>
      <c r="Q157" s="2" t="str">
        <f aca="false">IF((E157="c"),H157," ")</f>
        <v> </v>
      </c>
      <c r="R157" s="2" t="str">
        <f aca="false">IF((E157="d"),H157," ")</f>
        <v> </v>
      </c>
      <c r="S157" s="2" t="str">
        <f aca="false">IF((E157="g"),H157," ")</f>
        <v> </v>
      </c>
      <c r="T157" s="2" t="str">
        <f aca="false">IF((E157="o"),H157," ")</f>
        <v> </v>
      </c>
      <c r="U157" s="2" t="str">
        <f aca="false">IF((E157="FS"),H157," ")</f>
        <v> </v>
      </c>
    </row>
    <row r="158" customFormat="false" ht="12" hidden="false" customHeight="false" outlineLevel="0" collapsed="false">
      <c r="E158" s="4" t="str">
        <f aca="false">IF((F158&lt;&gt;0),"Enter Letter"," ")</f>
        <v> </v>
      </c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  <c r="O158" s="2" t="str">
        <f aca="false">IF((E158="a"),H158," ")</f>
        <v> </v>
      </c>
      <c r="P158" s="2" t="str">
        <f aca="false">IF((E158="b"),H158," ")</f>
        <v> </v>
      </c>
      <c r="Q158" s="2" t="str">
        <f aca="false">IF((E158="c"),H158," ")</f>
        <v> </v>
      </c>
      <c r="R158" s="2" t="str">
        <f aca="false">IF((E158="d"),H158," ")</f>
        <v> </v>
      </c>
      <c r="S158" s="2" t="str">
        <f aca="false">IF((E158="g"),H158," ")</f>
        <v> </v>
      </c>
      <c r="T158" s="2" t="str">
        <f aca="false">IF((E158="o"),H158," ")</f>
        <v> </v>
      </c>
      <c r="U158" s="2" t="str">
        <f aca="false">IF((E158="FS"),H158," ")</f>
        <v> </v>
      </c>
    </row>
    <row r="159" customFormat="false" ht="12" hidden="false" customHeight="false" outlineLevel="0" collapsed="false">
      <c r="E159" s="4" t="str">
        <f aca="false">IF((F159&lt;&gt;0),"Enter Letter"," ")</f>
        <v> </v>
      </c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  <c r="O159" s="2" t="str">
        <f aca="false">IF((E159="a"),H159," ")</f>
        <v> </v>
      </c>
      <c r="P159" s="2" t="str">
        <f aca="false">IF((E159="b"),H159," ")</f>
        <v> </v>
      </c>
      <c r="Q159" s="2" t="str">
        <f aca="false">IF((E159="c"),H159," ")</f>
        <v> </v>
      </c>
      <c r="R159" s="2" t="str">
        <f aca="false">IF((E159="d"),H159," ")</f>
        <v> </v>
      </c>
      <c r="S159" s="2" t="str">
        <f aca="false">IF((E159="g"),H159," ")</f>
        <v> </v>
      </c>
      <c r="T159" s="2" t="str">
        <f aca="false">IF((E159="o"),H159," ")</f>
        <v> </v>
      </c>
      <c r="U159" s="2" t="str">
        <f aca="false">IF((E159="FS"),H159," ")</f>
        <v> </v>
      </c>
    </row>
    <row r="160" customFormat="false" ht="12" hidden="false" customHeight="false" outlineLevel="0" collapsed="false">
      <c r="E160" s="4" t="str">
        <f aca="false">IF((F160&lt;&gt;0),"Enter Letter"," ")</f>
        <v> </v>
      </c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  <c r="O160" s="2" t="str">
        <f aca="false">IF((E160="a"),H160," ")</f>
        <v> </v>
      </c>
      <c r="P160" s="2" t="str">
        <f aca="false">IF((E160="b"),H160," ")</f>
        <v> </v>
      </c>
      <c r="Q160" s="2" t="str">
        <f aca="false">IF((E160="c"),H160," ")</f>
        <v> </v>
      </c>
      <c r="R160" s="2" t="str">
        <f aca="false">IF((E160="d"),H160," ")</f>
        <v> </v>
      </c>
      <c r="S160" s="2" t="str">
        <f aca="false">IF((E160="g"),H160," ")</f>
        <v> </v>
      </c>
      <c r="T160" s="2" t="str">
        <f aca="false">IF((E160="o"),H160," ")</f>
        <v> </v>
      </c>
      <c r="U160" s="2" t="str">
        <f aca="false">IF((E160="FS"),H160," ")</f>
        <v> </v>
      </c>
    </row>
    <row r="161" customFormat="false" ht="12" hidden="false" customHeight="false" outlineLevel="0" collapsed="false">
      <c r="E161" s="4" t="str">
        <f aca="false">IF((F161&lt;&gt;0),"Enter Letter"," ")</f>
        <v> </v>
      </c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  <c r="O161" s="2" t="str">
        <f aca="false">IF((E161="a"),H161," ")</f>
        <v> </v>
      </c>
      <c r="P161" s="2" t="str">
        <f aca="false">IF((E161="b"),H161," ")</f>
        <v> </v>
      </c>
      <c r="Q161" s="2" t="str">
        <f aca="false">IF((E161="c"),H161," ")</f>
        <v> </v>
      </c>
      <c r="R161" s="2" t="str">
        <f aca="false">IF((E161="d"),H161," ")</f>
        <v> </v>
      </c>
      <c r="S161" s="2" t="str">
        <f aca="false">IF((E161="g"),H161," ")</f>
        <v> </v>
      </c>
      <c r="T161" s="2" t="str">
        <f aca="false">IF((E161="o"),H161," ")</f>
        <v> </v>
      </c>
      <c r="U161" s="2" t="str">
        <f aca="false">IF((E161="FS"),H161," ")</f>
        <v> </v>
      </c>
    </row>
    <row r="162" customFormat="false" ht="12" hidden="false" customHeight="false" outlineLevel="0" collapsed="false">
      <c r="E162" s="4" t="str">
        <f aca="false">IF((F162&lt;&gt;0),"Enter Letter"," ")</f>
        <v> </v>
      </c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  <c r="O162" s="2" t="str">
        <f aca="false">IF((E162="a"),H162," ")</f>
        <v> </v>
      </c>
      <c r="P162" s="2" t="str">
        <f aca="false">IF((E162="b"),H162," ")</f>
        <v> </v>
      </c>
      <c r="Q162" s="2" t="str">
        <f aca="false">IF((E162="c"),H162," ")</f>
        <v> </v>
      </c>
      <c r="R162" s="2" t="str">
        <f aca="false">IF((E162="d"),H162," ")</f>
        <v> </v>
      </c>
      <c r="S162" s="2" t="str">
        <f aca="false">IF((E162="g"),H162," ")</f>
        <v> </v>
      </c>
      <c r="T162" s="2" t="str">
        <f aca="false">IF((E162="o"),H162," ")</f>
        <v> </v>
      </c>
      <c r="U162" s="2" t="str">
        <f aca="false">IF((E162="FS"),H162," ")</f>
        <v> </v>
      </c>
    </row>
    <row r="163" customFormat="false" ht="12" hidden="false" customHeight="false" outlineLevel="0" collapsed="false">
      <c r="E163" s="4" t="str">
        <f aca="false">IF((F163&lt;&gt;0),"Enter Letter"," ")</f>
        <v> </v>
      </c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  <c r="O163" s="2" t="str">
        <f aca="false">IF((E163="a"),H163," ")</f>
        <v> </v>
      </c>
      <c r="P163" s="2" t="str">
        <f aca="false">IF((E163="b"),H163," ")</f>
        <v> </v>
      </c>
      <c r="Q163" s="2" t="str">
        <f aca="false">IF((E163="c"),H163," ")</f>
        <v> </v>
      </c>
      <c r="R163" s="2" t="str">
        <f aca="false">IF((E163="d"),H163," ")</f>
        <v> </v>
      </c>
      <c r="S163" s="2" t="str">
        <f aca="false">IF((E163="g"),H163," ")</f>
        <v> </v>
      </c>
      <c r="T163" s="2" t="str">
        <f aca="false">IF((E163="o"),H163," ")</f>
        <v> </v>
      </c>
      <c r="U163" s="2" t="str">
        <f aca="false">IF((E163="FS"),H163," ")</f>
        <v> </v>
      </c>
    </row>
    <row r="164" customFormat="false" ht="12" hidden="false" customHeight="false" outlineLevel="0" collapsed="false">
      <c r="E164" s="4" t="str">
        <f aca="false">IF((F164&lt;&gt;0),"Enter Letter"," ")</f>
        <v> </v>
      </c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  <c r="O164" s="2" t="str">
        <f aca="false">IF((E164="a"),H164," ")</f>
        <v> </v>
      </c>
      <c r="P164" s="2" t="str">
        <f aca="false">IF((E164="b"),H164," ")</f>
        <v> </v>
      </c>
      <c r="Q164" s="2" t="str">
        <f aca="false">IF((E164="c"),H164," ")</f>
        <v> </v>
      </c>
      <c r="R164" s="2" t="str">
        <f aca="false">IF((E164="d"),H164," ")</f>
        <v> </v>
      </c>
      <c r="S164" s="2" t="str">
        <f aca="false">IF((E164="g"),H164," ")</f>
        <v> </v>
      </c>
      <c r="T164" s="2" t="str">
        <f aca="false">IF((E164="o"),H164," ")</f>
        <v> </v>
      </c>
      <c r="U164" s="2" t="str">
        <f aca="false">IF((E164="FS"),H164," ")</f>
        <v> </v>
      </c>
    </row>
    <row r="165" customFormat="false" ht="12" hidden="false" customHeight="false" outlineLevel="0" collapsed="false">
      <c r="E165" s="4" t="str">
        <f aca="false">IF((F165&lt;&gt;0),"Enter Letter"," ")</f>
        <v> </v>
      </c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  <c r="O165" s="2" t="str">
        <f aca="false">IF((E165="a"),H165," ")</f>
        <v> </v>
      </c>
      <c r="P165" s="2" t="str">
        <f aca="false">IF((E165="b"),H165," ")</f>
        <v> </v>
      </c>
      <c r="Q165" s="2" t="str">
        <f aca="false">IF((E165="c"),H165," ")</f>
        <v> </v>
      </c>
      <c r="R165" s="2" t="str">
        <f aca="false">IF((E165="d"),H165," ")</f>
        <v> </v>
      </c>
      <c r="S165" s="2" t="str">
        <f aca="false">IF((E165="g"),H165," ")</f>
        <v> </v>
      </c>
      <c r="T165" s="2" t="str">
        <f aca="false">IF((E165="o"),H165," ")</f>
        <v> </v>
      </c>
      <c r="U165" s="2" t="str">
        <f aca="false">IF((E165="FS"),H165," ")</f>
        <v> </v>
      </c>
    </row>
    <row r="166" customFormat="false" ht="12" hidden="false" customHeight="false" outlineLevel="0" collapsed="false">
      <c r="E166" s="4" t="str">
        <f aca="false">IF((F166&lt;&gt;0),"Enter Letter"," ")</f>
        <v> </v>
      </c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  <c r="O166" s="2" t="str">
        <f aca="false">IF((E166="a"),H166," ")</f>
        <v> </v>
      </c>
      <c r="P166" s="2" t="str">
        <f aca="false">IF((E166="b"),H166," ")</f>
        <v> </v>
      </c>
      <c r="Q166" s="2" t="str">
        <f aca="false">IF((E166="c"),H166," ")</f>
        <v> </v>
      </c>
      <c r="R166" s="2" t="str">
        <f aca="false">IF((E166="d"),H166," ")</f>
        <v> </v>
      </c>
      <c r="S166" s="2" t="str">
        <f aca="false">IF((E166="g"),H166," ")</f>
        <v> </v>
      </c>
      <c r="T166" s="2" t="str">
        <f aca="false">IF((E166="o"),H166," ")</f>
        <v> </v>
      </c>
      <c r="U166" s="2" t="str">
        <f aca="false">IF((E166="FS"),H166," ")</f>
        <v> </v>
      </c>
    </row>
    <row r="167" customFormat="false" ht="12" hidden="false" customHeight="false" outlineLevel="0" collapsed="false">
      <c r="E167" s="4" t="str">
        <f aca="false">IF((F167&lt;&gt;0),"Enter Letter"," ")</f>
        <v> </v>
      </c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  <c r="O167" s="2" t="str">
        <f aca="false">IF((E167="a"),H167," ")</f>
        <v> </v>
      </c>
      <c r="P167" s="2" t="str">
        <f aca="false">IF((E167="b"),H167," ")</f>
        <v> </v>
      </c>
      <c r="Q167" s="2" t="str">
        <f aca="false">IF((E167="c"),H167," ")</f>
        <v> </v>
      </c>
      <c r="R167" s="2" t="str">
        <f aca="false">IF((E167="d"),H167," ")</f>
        <v> </v>
      </c>
      <c r="S167" s="2" t="str">
        <f aca="false">IF((E167="g"),H167," ")</f>
        <v> </v>
      </c>
      <c r="T167" s="2" t="str">
        <f aca="false">IF((E167="o"),H167," ")</f>
        <v> </v>
      </c>
      <c r="U167" s="2" t="str">
        <f aca="false">IF((E167="FS"),H167," ")</f>
        <v> </v>
      </c>
    </row>
    <row r="168" customFormat="false" ht="12" hidden="false" customHeight="false" outlineLevel="0" collapsed="false">
      <c r="E168" s="4" t="str">
        <f aca="false">IF((F168&lt;&gt;0),"Enter Letter"," ")</f>
        <v> </v>
      </c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  <c r="O168" s="2" t="str">
        <f aca="false">IF((E168="a"),H168," ")</f>
        <v> </v>
      </c>
      <c r="P168" s="2" t="str">
        <f aca="false">IF((E168="b"),H168," ")</f>
        <v> </v>
      </c>
      <c r="Q168" s="2" t="str">
        <f aca="false">IF((E168="c"),H168," ")</f>
        <v> </v>
      </c>
      <c r="R168" s="2" t="str">
        <f aca="false">IF((E168="d"),H168," ")</f>
        <v> </v>
      </c>
      <c r="S168" s="2" t="str">
        <f aca="false">IF((E168="g"),H168," ")</f>
        <v> </v>
      </c>
      <c r="T168" s="2" t="str">
        <f aca="false">IF((E168="o"),H168," ")</f>
        <v> </v>
      </c>
      <c r="U168" s="2" t="str">
        <f aca="false">IF((E168="FS"),H168," ")</f>
        <v> </v>
      </c>
    </row>
    <row r="169" customFormat="false" ht="12" hidden="false" customHeight="false" outlineLevel="0" collapsed="false">
      <c r="E169" s="4" t="str">
        <f aca="false">IF((F169&lt;&gt;0),"Enter Letter"," ")</f>
        <v> </v>
      </c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  <c r="O169" s="2" t="str">
        <f aca="false">IF((E169="a"),H169," ")</f>
        <v> </v>
      </c>
      <c r="P169" s="2" t="str">
        <f aca="false">IF((E169="b"),H169," ")</f>
        <v> </v>
      </c>
      <c r="Q169" s="2" t="str">
        <f aca="false">IF((E169="c"),H169," ")</f>
        <v> </v>
      </c>
      <c r="R169" s="2" t="str">
        <f aca="false">IF((E169="d"),H169," ")</f>
        <v> </v>
      </c>
      <c r="S169" s="2" t="str">
        <f aca="false">IF((E169="g"),H169," ")</f>
        <v> </v>
      </c>
      <c r="T169" s="2" t="str">
        <f aca="false">IF((E169="o"),H169," ")</f>
        <v> </v>
      </c>
      <c r="U169" s="2" t="str">
        <f aca="false">IF((E169="FS"),H169," ")</f>
        <v> </v>
      </c>
    </row>
    <row r="170" customFormat="false" ht="12" hidden="false" customHeight="false" outlineLevel="0" collapsed="false">
      <c r="E170" s="4" t="str">
        <f aca="false">IF((F170&lt;&gt;0),"Enter Letter"," ")</f>
        <v> </v>
      </c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  <c r="O170" s="2" t="str">
        <f aca="false">IF((E170="a"),H170," ")</f>
        <v> </v>
      </c>
      <c r="P170" s="2" t="str">
        <f aca="false">IF((E170="b"),H170," ")</f>
        <v> </v>
      </c>
      <c r="Q170" s="2" t="str">
        <f aca="false">IF((E170="c"),H170," ")</f>
        <v> </v>
      </c>
      <c r="R170" s="2" t="str">
        <f aca="false">IF((E170="d"),H170," ")</f>
        <v> </v>
      </c>
      <c r="S170" s="2" t="str">
        <f aca="false">IF((E170="g"),H170," ")</f>
        <v> </v>
      </c>
      <c r="T170" s="2" t="str">
        <f aca="false">IF((E170="o"),H170," ")</f>
        <v> </v>
      </c>
      <c r="U170" s="2" t="str">
        <f aca="false">IF((E170="FS"),H170," ")</f>
        <v> </v>
      </c>
    </row>
    <row r="171" customFormat="false" ht="12" hidden="false" customHeight="false" outlineLevel="0" collapsed="false">
      <c r="E171" s="4" t="str">
        <f aca="false">IF((F171&lt;&gt;0),"Enter Letter"," ")</f>
        <v> </v>
      </c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  <c r="O171" s="2" t="str">
        <f aca="false">IF((E171="a"),H171," ")</f>
        <v> </v>
      </c>
      <c r="P171" s="2" t="str">
        <f aca="false">IF((E171="b"),H171," ")</f>
        <v> </v>
      </c>
      <c r="Q171" s="2" t="str">
        <f aca="false">IF((E171="c"),H171," ")</f>
        <v> </v>
      </c>
      <c r="R171" s="2" t="str">
        <f aca="false">IF((E171="d"),H171," ")</f>
        <v> </v>
      </c>
      <c r="S171" s="2" t="str">
        <f aca="false">IF((E171="g"),H171," ")</f>
        <v> </v>
      </c>
      <c r="T171" s="2" t="str">
        <f aca="false">IF((E171="o"),H171," ")</f>
        <v> </v>
      </c>
      <c r="U171" s="2" t="str">
        <f aca="false">IF((E171="FS"),H171," ")</f>
        <v> </v>
      </c>
    </row>
    <row r="172" customFormat="false" ht="12" hidden="false" customHeight="false" outlineLevel="0" collapsed="false">
      <c r="E172" s="4" t="str">
        <f aca="false">IF((F172&lt;&gt;0),"Enter Letter"," ")</f>
        <v> </v>
      </c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  <c r="O172" s="2" t="str">
        <f aca="false">IF((E172="a"),H172," ")</f>
        <v> </v>
      </c>
      <c r="P172" s="2" t="str">
        <f aca="false">IF((E172="b"),H172," ")</f>
        <v> </v>
      </c>
      <c r="Q172" s="2" t="str">
        <f aca="false">IF((E172="c"),H172," ")</f>
        <v> </v>
      </c>
      <c r="R172" s="2" t="str">
        <f aca="false">IF((E172="d"),H172," ")</f>
        <v> </v>
      </c>
      <c r="S172" s="2" t="str">
        <f aca="false">IF((E172="g"),H172," ")</f>
        <v> </v>
      </c>
      <c r="T172" s="2" t="str">
        <f aca="false">IF((E172="o"),H172," ")</f>
        <v> </v>
      </c>
      <c r="U172" s="2" t="str">
        <f aca="false">IF((E172="FS"),H172," ")</f>
        <v> </v>
      </c>
    </row>
    <row r="173" customFormat="false" ht="12" hidden="false" customHeight="false" outlineLevel="0" collapsed="false">
      <c r="E173" s="4" t="str">
        <f aca="false">IF((F173&lt;&gt;0),"Enter Letter"," ")</f>
        <v> </v>
      </c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  <c r="O173" s="2" t="str">
        <f aca="false">IF((E173="a"),H173," ")</f>
        <v> </v>
      </c>
      <c r="P173" s="2" t="str">
        <f aca="false">IF((E173="b"),H173," ")</f>
        <v> </v>
      </c>
      <c r="Q173" s="2" t="str">
        <f aca="false">IF((E173="c"),H173," ")</f>
        <v> </v>
      </c>
      <c r="R173" s="2" t="str">
        <f aca="false">IF((E173="d"),H173," ")</f>
        <v> </v>
      </c>
      <c r="S173" s="2" t="str">
        <f aca="false">IF((E173="g"),H173," ")</f>
        <v> </v>
      </c>
      <c r="T173" s="2" t="str">
        <f aca="false">IF((E173="o"),H173," ")</f>
        <v> </v>
      </c>
      <c r="U173" s="2" t="str">
        <f aca="false">IF((E173="FS"),H173," ")</f>
        <v> </v>
      </c>
    </row>
    <row r="174" customFormat="false" ht="12" hidden="false" customHeight="false" outlineLevel="0" collapsed="false">
      <c r="E174" s="4" t="str">
        <f aca="false">IF((F174&lt;&gt;0),"Enter Letter"," ")</f>
        <v> </v>
      </c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  <c r="O174" s="2" t="str">
        <f aca="false">IF((E174="a"),H174," ")</f>
        <v> </v>
      </c>
      <c r="P174" s="2" t="str">
        <f aca="false">IF((E174="b"),H174," ")</f>
        <v> </v>
      </c>
      <c r="Q174" s="2" t="str">
        <f aca="false">IF((E174="c"),H174," ")</f>
        <v> </v>
      </c>
      <c r="R174" s="2" t="str">
        <f aca="false">IF((E174="d"),H174," ")</f>
        <v> </v>
      </c>
      <c r="S174" s="2" t="str">
        <f aca="false">IF((E174="g"),H174," ")</f>
        <v> </v>
      </c>
      <c r="T174" s="2" t="str">
        <f aca="false">IF((E174="o"),H174," ")</f>
        <v> </v>
      </c>
      <c r="U174" s="2" t="str">
        <f aca="false">IF((E174="FS"),H174," ")</f>
        <v> </v>
      </c>
    </row>
    <row r="175" customFormat="false" ht="12" hidden="false" customHeight="false" outlineLevel="0" collapsed="false">
      <c r="E175" s="4" t="str">
        <f aca="false">IF((F175&lt;&gt;0),"Enter Letter"," ")</f>
        <v> </v>
      </c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  <c r="O175" s="2" t="str">
        <f aca="false">IF((E175="a"),H175," ")</f>
        <v> </v>
      </c>
      <c r="P175" s="2" t="str">
        <f aca="false">IF((E175="b"),H175," ")</f>
        <v> </v>
      </c>
      <c r="Q175" s="2" t="str">
        <f aca="false">IF((E175="c"),H175," ")</f>
        <v> </v>
      </c>
      <c r="R175" s="2" t="str">
        <f aca="false">IF((E175="d"),H175," ")</f>
        <v> </v>
      </c>
      <c r="S175" s="2" t="str">
        <f aca="false">IF((E175="g"),H175," ")</f>
        <v> </v>
      </c>
      <c r="T175" s="2" t="str">
        <f aca="false">IF((E175="o"),H175," ")</f>
        <v> </v>
      </c>
      <c r="U175" s="2" t="str">
        <f aca="false">IF((E175="FS"),H175," ")</f>
        <v> </v>
      </c>
    </row>
    <row r="176" customFormat="false" ht="12" hidden="false" customHeight="false" outlineLevel="0" collapsed="false">
      <c r="E176" s="4" t="str">
        <f aca="false">IF((F176&lt;&gt;0),"Enter Letter"," ")</f>
        <v> </v>
      </c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  <c r="O176" s="2" t="str">
        <f aca="false">IF((E176="a"),H176," ")</f>
        <v> </v>
      </c>
      <c r="P176" s="2" t="str">
        <f aca="false">IF((E176="b"),H176," ")</f>
        <v> </v>
      </c>
      <c r="Q176" s="2" t="str">
        <f aca="false">IF((E176="c"),H176," ")</f>
        <v> </v>
      </c>
      <c r="R176" s="2" t="str">
        <f aca="false">IF((E176="d"),H176," ")</f>
        <v> </v>
      </c>
      <c r="S176" s="2" t="str">
        <f aca="false">IF((E176="g"),H176," ")</f>
        <v> </v>
      </c>
      <c r="T176" s="2" t="str">
        <f aca="false">IF((E176="o"),H176," ")</f>
        <v> </v>
      </c>
      <c r="U176" s="2" t="str">
        <f aca="false">IF((E176="FS"),H176," ")</f>
        <v> </v>
      </c>
    </row>
    <row r="177" customFormat="false" ht="12" hidden="false" customHeight="false" outlineLevel="0" collapsed="false">
      <c r="E177" s="4" t="str">
        <f aca="false">IF((F177&lt;&gt;0),"Enter Letter"," ")</f>
        <v> </v>
      </c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  <c r="O177" s="2" t="str">
        <f aca="false">IF((E177="a"),H177," ")</f>
        <v> </v>
      </c>
      <c r="P177" s="2" t="str">
        <f aca="false">IF((E177="b"),H177," ")</f>
        <v> </v>
      </c>
      <c r="Q177" s="2" t="str">
        <f aca="false">IF((E177="c"),H177," ")</f>
        <v> </v>
      </c>
      <c r="R177" s="2" t="str">
        <f aca="false">IF((E177="d"),H177," ")</f>
        <v> </v>
      </c>
      <c r="S177" s="2" t="str">
        <f aca="false">IF((E177="g"),H177," ")</f>
        <v> </v>
      </c>
      <c r="T177" s="2" t="str">
        <f aca="false">IF((E177="o"),H177," ")</f>
        <v> </v>
      </c>
      <c r="U177" s="2" t="str">
        <f aca="false">IF((E177="FS"),H177," ")</f>
        <v> </v>
      </c>
    </row>
    <row r="178" customFormat="false" ht="12" hidden="false" customHeight="false" outlineLevel="0" collapsed="false">
      <c r="E178" s="4" t="str">
        <f aca="false">IF((F178&lt;&gt;0),"Enter Letter"," ")</f>
        <v> </v>
      </c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  <c r="O178" s="2" t="str">
        <f aca="false">IF((E178="a"),H178," ")</f>
        <v> </v>
      </c>
      <c r="P178" s="2" t="str">
        <f aca="false">IF((E178="b"),H178," ")</f>
        <v> </v>
      </c>
      <c r="Q178" s="2" t="str">
        <f aca="false">IF((E178="c"),H178," ")</f>
        <v> </v>
      </c>
      <c r="R178" s="2" t="str">
        <f aca="false">IF((E178="d"),H178," ")</f>
        <v> </v>
      </c>
      <c r="S178" s="2" t="str">
        <f aca="false">IF((E178="g"),H178," ")</f>
        <v> </v>
      </c>
      <c r="T178" s="2" t="str">
        <f aca="false">IF((E178="o"),H178," ")</f>
        <v> </v>
      </c>
      <c r="U178" s="2" t="str">
        <f aca="false">IF((E178="FS"),H178," ")</f>
        <v> </v>
      </c>
    </row>
    <row r="179" customFormat="false" ht="12" hidden="false" customHeight="false" outlineLevel="0" collapsed="false">
      <c r="E179" s="4" t="str">
        <f aca="false">IF((F179&lt;&gt;0),"Enter Letter"," ")</f>
        <v> </v>
      </c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  <c r="O179" s="2" t="str">
        <f aca="false">IF((E179="a"),H179," ")</f>
        <v> </v>
      </c>
      <c r="P179" s="2" t="str">
        <f aca="false">IF((E179="b"),H179," ")</f>
        <v> </v>
      </c>
      <c r="Q179" s="2" t="str">
        <f aca="false">IF((E179="c"),H179," ")</f>
        <v> </v>
      </c>
      <c r="R179" s="2" t="str">
        <f aca="false">IF((E179="d"),H179," ")</f>
        <v> </v>
      </c>
      <c r="S179" s="2" t="str">
        <f aca="false">IF((E179="g"),H179," ")</f>
        <v> </v>
      </c>
      <c r="T179" s="2" t="str">
        <f aca="false">IF((E179="o"),H179," ")</f>
        <v> </v>
      </c>
      <c r="U179" s="2" t="str">
        <f aca="false">IF((E179="FS"),H179," ")</f>
        <v> </v>
      </c>
    </row>
    <row r="180" customFormat="false" ht="12" hidden="false" customHeight="false" outlineLevel="0" collapsed="false">
      <c r="E180" s="4" t="str">
        <f aca="false">IF((F180&lt;&gt;0),"Enter Letter"," ")</f>
        <v> </v>
      </c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  <c r="O180" s="2" t="str">
        <f aca="false">IF((E180="a"),H180," ")</f>
        <v> </v>
      </c>
      <c r="P180" s="2" t="str">
        <f aca="false">IF((E180="b"),H180," ")</f>
        <v> </v>
      </c>
      <c r="Q180" s="2" t="str">
        <f aca="false">IF((E180="c"),H180," ")</f>
        <v> </v>
      </c>
      <c r="R180" s="2" t="str">
        <f aca="false">IF((E180="d"),H180," ")</f>
        <v> </v>
      </c>
      <c r="S180" s="2" t="str">
        <f aca="false">IF((E180="g"),H180," ")</f>
        <v> </v>
      </c>
      <c r="T180" s="2" t="str">
        <f aca="false">IF((E180="o"),H180," ")</f>
        <v> </v>
      </c>
      <c r="U180" s="2" t="str">
        <f aca="false">IF((E180="FS"),H180," ")</f>
        <v> </v>
      </c>
    </row>
    <row r="181" customFormat="false" ht="12" hidden="false" customHeight="false" outlineLevel="0" collapsed="false">
      <c r="E181" s="4" t="str">
        <f aca="false">IF((F181&lt;&gt;0),"Enter Letter"," ")</f>
        <v> </v>
      </c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  <c r="O181" s="2" t="str">
        <f aca="false">IF((E181="a"),H181," ")</f>
        <v> </v>
      </c>
      <c r="P181" s="2" t="str">
        <f aca="false">IF((E181="b"),H181," ")</f>
        <v> </v>
      </c>
      <c r="Q181" s="2" t="str">
        <f aca="false">IF((E181="c"),H181," ")</f>
        <v> </v>
      </c>
      <c r="R181" s="2" t="str">
        <f aca="false">IF((E181="d"),H181," ")</f>
        <v> </v>
      </c>
      <c r="S181" s="2" t="str">
        <f aca="false">IF((E181="g"),H181," ")</f>
        <v> </v>
      </c>
      <c r="T181" s="2" t="str">
        <f aca="false">IF((E181="o"),H181," ")</f>
        <v> </v>
      </c>
      <c r="U181" s="2" t="str">
        <f aca="false">IF((E181="FS"),H181," ")</f>
        <v> </v>
      </c>
    </row>
    <row r="182" customFormat="false" ht="12" hidden="false" customHeight="false" outlineLevel="0" collapsed="false">
      <c r="E182" s="4" t="str">
        <f aca="false">IF((F182&lt;&gt;0),"Enter Letter"," ")</f>
        <v> </v>
      </c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  <c r="O182" s="2" t="str">
        <f aca="false">IF((E182="a"),H182," ")</f>
        <v> </v>
      </c>
      <c r="P182" s="2" t="str">
        <f aca="false">IF((E182="b"),H182," ")</f>
        <v> </v>
      </c>
      <c r="Q182" s="2" t="str">
        <f aca="false">IF((E182="c"),H182," ")</f>
        <v> </v>
      </c>
      <c r="R182" s="2" t="str">
        <f aca="false">IF((E182="d"),H182," ")</f>
        <v> </v>
      </c>
      <c r="S182" s="2" t="str">
        <f aca="false">IF((E182="g"),H182," ")</f>
        <v> </v>
      </c>
      <c r="T182" s="2" t="str">
        <f aca="false">IF((E182="o"),H182," ")</f>
        <v> </v>
      </c>
      <c r="U182" s="2" t="str">
        <f aca="false">IF((E182="FS"),H182," ")</f>
        <v> </v>
      </c>
    </row>
    <row r="183" customFormat="false" ht="12" hidden="false" customHeight="false" outlineLevel="0" collapsed="false">
      <c r="E183" s="4" t="str">
        <f aca="false">IF((F183&lt;&gt;0),"Enter Letter"," ")</f>
        <v> </v>
      </c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  <c r="O183" s="2" t="str">
        <f aca="false">IF((E183="a"),H183," ")</f>
        <v> </v>
      </c>
      <c r="P183" s="2" t="str">
        <f aca="false">IF((E183="b"),H183," ")</f>
        <v> </v>
      </c>
      <c r="Q183" s="2" t="str">
        <f aca="false">IF((E183="c"),H183," ")</f>
        <v> </v>
      </c>
      <c r="R183" s="2" t="str">
        <f aca="false">IF((E183="d"),H183," ")</f>
        <v> </v>
      </c>
      <c r="S183" s="2" t="str">
        <f aca="false">IF((E183="g"),H183," ")</f>
        <v> </v>
      </c>
      <c r="T183" s="2" t="str">
        <f aca="false">IF((E183="o"),H183," ")</f>
        <v> </v>
      </c>
      <c r="U183" s="2" t="str">
        <f aca="false">IF((E183="FS"),H183," ")</f>
        <v> </v>
      </c>
    </row>
    <row r="184" customFormat="false" ht="12" hidden="false" customHeight="false" outlineLevel="0" collapsed="false">
      <c r="E184" s="4" t="str">
        <f aca="false">IF((F184&lt;&gt;0),"Enter Letter"," ")</f>
        <v> </v>
      </c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  <c r="O184" s="2" t="str">
        <f aca="false">IF((E184="a"),H184," ")</f>
        <v> </v>
      </c>
      <c r="P184" s="2" t="str">
        <f aca="false">IF((E184="b"),H184," ")</f>
        <v> </v>
      </c>
      <c r="Q184" s="2" t="str">
        <f aca="false">IF((E184="c"),H184," ")</f>
        <v> </v>
      </c>
      <c r="R184" s="2" t="str">
        <f aca="false">IF((E184="d"),H184," ")</f>
        <v> </v>
      </c>
      <c r="S184" s="2" t="str">
        <f aca="false">IF((E184="g"),H184," ")</f>
        <v> </v>
      </c>
      <c r="T184" s="2" t="str">
        <f aca="false">IF((E184="o"),H184," ")</f>
        <v> </v>
      </c>
      <c r="U184" s="2" t="str">
        <f aca="false">IF((E184="FS"),H184," ")</f>
        <v> </v>
      </c>
    </row>
    <row r="185" customFormat="false" ht="12" hidden="false" customHeight="false" outlineLevel="0" collapsed="false">
      <c r="E185" s="4" t="str">
        <f aca="false">IF((F185&lt;&gt;0),"Enter Letter"," ")</f>
        <v> </v>
      </c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  <c r="O185" s="2" t="str">
        <f aca="false">IF((E185="a"),H185," ")</f>
        <v> </v>
      </c>
      <c r="P185" s="2" t="str">
        <f aca="false">IF((E185="b"),H185," ")</f>
        <v> </v>
      </c>
      <c r="Q185" s="2" t="str">
        <f aca="false">IF((E185="c"),H185," ")</f>
        <v> </v>
      </c>
      <c r="R185" s="2" t="str">
        <f aca="false">IF((E185="d"),H185," ")</f>
        <v> </v>
      </c>
      <c r="S185" s="2" t="str">
        <f aca="false">IF((E185="g"),H185," ")</f>
        <v> </v>
      </c>
      <c r="T185" s="2" t="str">
        <f aca="false">IF((E185="o"),H185," ")</f>
        <v> </v>
      </c>
      <c r="U185" s="2" t="str">
        <f aca="false">IF((E185="FS"),H185," ")</f>
        <v> </v>
      </c>
    </row>
    <row r="186" customFormat="false" ht="12" hidden="false" customHeight="false" outlineLevel="0" collapsed="false">
      <c r="E186" s="4" t="str">
        <f aca="false">IF((F186&lt;&gt;0),"Enter Letter"," ")</f>
        <v> </v>
      </c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  <c r="O186" s="2" t="str">
        <f aca="false">IF((E186="a"),H186," ")</f>
        <v> </v>
      </c>
      <c r="P186" s="2" t="str">
        <f aca="false">IF((E186="b"),H186," ")</f>
        <v> </v>
      </c>
      <c r="Q186" s="2" t="str">
        <f aca="false">IF((E186="c"),H186," ")</f>
        <v> </v>
      </c>
      <c r="R186" s="2" t="str">
        <f aca="false">IF((E186="d"),H186," ")</f>
        <v> </v>
      </c>
      <c r="S186" s="2" t="str">
        <f aca="false">IF((E186="g"),H186," ")</f>
        <v> </v>
      </c>
      <c r="T186" s="2" t="str">
        <f aca="false">IF((E186="o"),H186," ")</f>
        <v> </v>
      </c>
      <c r="U186" s="2" t="str">
        <f aca="false">IF((E186="FS"),H186," ")</f>
        <v> </v>
      </c>
    </row>
    <row r="187" customFormat="false" ht="12" hidden="false" customHeight="false" outlineLevel="0" collapsed="false">
      <c r="E187" s="4" t="str">
        <f aca="false">IF((F187&lt;&gt;0),"Enter Letter"," ")</f>
        <v> </v>
      </c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  <c r="O187" s="2" t="str">
        <f aca="false">IF((E187="a"),H187," ")</f>
        <v> </v>
      </c>
      <c r="P187" s="2" t="str">
        <f aca="false">IF((E187="b"),H187," ")</f>
        <v> </v>
      </c>
      <c r="Q187" s="2" t="str">
        <f aca="false">IF((E187="c"),H187," ")</f>
        <v> </v>
      </c>
      <c r="R187" s="2" t="str">
        <f aca="false">IF((E187="d"),H187," ")</f>
        <v> </v>
      </c>
      <c r="S187" s="2" t="str">
        <f aca="false">IF((E187="g"),H187," ")</f>
        <v> </v>
      </c>
      <c r="T187" s="2" t="str">
        <f aca="false">IF((E187="o"),H187," ")</f>
        <v> </v>
      </c>
      <c r="U187" s="2" t="str">
        <f aca="false">IF((E187="FS"),H187," ")</f>
        <v> </v>
      </c>
    </row>
    <row r="188" customFormat="false" ht="12" hidden="false" customHeight="false" outlineLevel="0" collapsed="false">
      <c r="E188" s="4" t="str">
        <f aca="false">IF((F188&lt;&gt;0),"Enter Letter"," ")</f>
        <v> </v>
      </c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  <c r="O188" s="2" t="str">
        <f aca="false">IF((E188="a"),H188," ")</f>
        <v> </v>
      </c>
      <c r="P188" s="2" t="str">
        <f aca="false">IF((E188="b"),H188," ")</f>
        <v> </v>
      </c>
      <c r="Q188" s="2" t="str">
        <f aca="false">IF((E188="c"),H188," ")</f>
        <v> </v>
      </c>
      <c r="R188" s="2" t="str">
        <f aca="false">IF((E188="d"),H188," ")</f>
        <v> </v>
      </c>
      <c r="S188" s="2" t="str">
        <f aca="false">IF((E188="g"),H188," ")</f>
        <v> </v>
      </c>
      <c r="T188" s="2" t="str">
        <f aca="false">IF((E188="o"),H188," ")</f>
        <v> </v>
      </c>
      <c r="U188" s="2" t="str">
        <f aca="false">IF((E188="FS"),H188," ")</f>
        <v> </v>
      </c>
    </row>
    <row r="189" customFormat="false" ht="12" hidden="false" customHeight="false" outlineLevel="0" collapsed="false">
      <c r="E189" s="4" t="str">
        <f aca="false">IF((F189&lt;&gt;0),"Enter Letter"," ")</f>
        <v> </v>
      </c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  <c r="O189" s="2" t="str">
        <f aca="false">IF((E189="a"),H189," ")</f>
        <v> </v>
      </c>
      <c r="P189" s="2" t="str">
        <f aca="false">IF((E189="b"),H189," ")</f>
        <v> </v>
      </c>
      <c r="Q189" s="2" t="str">
        <f aca="false">IF((E189="c"),H189," ")</f>
        <v> </v>
      </c>
      <c r="R189" s="2" t="str">
        <f aca="false">IF((E189="d"),H189," ")</f>
        <v> </v>
      </c>
      <c r="S189" s="2" t="str">
        <f aca="false">IF((E189="g"),H189," ")</f>
        <v> </v>
      </c>
      <c r="T189" s="2" t="str">
        <f aca="false">IF((E189="o"),H189," ")</f>
        <v> </v>
      </c>
      <c r="U189" s="2" t="str">
        <f aca="false">IF((E189="FS"),H189," ")</f>
        <v> </v>
      </c>
    </row>
    <row r="190" customFormat="false" ht="12" hidden="false" customHeight="false" outlineLevel="0" collapsed="false">
      <c r="E190" s="4" t="str">
        <f aca="false">IF((F190&lt;&gt;0),"Enter Letter"," ")</f>
        <v> </v>
      </c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  <c r="O190" s="2" t="str">
        <f aca="false">IF((E190="a"),H190," ")</f>
        <v> </v>
      </c>
      <c r="P190" s="2" t="str">
        <f aca="false">IF((E190="b"),H190," ")</f>
        <v> </v>
      </c>
      <c r="Q190" s="2" t="str">
        <f aca="false">IF((E190="c"),H190," ")</f>
        <v> </v>
      </c>
      <c r="R190" s="2" t="str">
        <f aca="false">IF((E190="d"),H190," ")</f>
        <v> </v>
      </c>
      <c r="S190" s="2" t="str">
        <f aca="false">IF((E190="g"),H190," ")</f>
        <v> </v>
      </c>
      <c r="T190" s="2" t="str">
        <f aca="false">IF((E190="o"),H190," ")</f>
        <v> </v>
      </c>
      <c r="U190" s="2" t="str">
        <f aca="false">IF((E190="FS"),H190," ")</f>
        <v> </v>
      </c>
    </row>
    <row r="191" customFormat="false" ht="12" hidden="false" customHeight="false" outlineLevel="0" collapsed="false">
      <c r="E191" s="4" t="str">
        <f aca="false">IF((F191&lt;&gt;0),"Enter Letter"," ")</f>
        <v> </v>
      </c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  <c r="O191" s="2" t="str">
        <f aca="false">IF((E191="a"),H191," ")</f>
        <v> </v>
      </c>
      <c r="P191" s="2" t="str">
        <f aca="false">IF((E191="b"),H191," ")</f>
        <v> </v>
      </c>
      <c r="Q191" s="2" t="str">
        <f aca="false">IF((E191="c"),H191," ")</f>
        <v> </v>
      </c>
      <c r="R191" s="2" t="str">
        <f aca="false">IF((E191="d"),H191," ")</f>
        <v> </v>
      </c>
      <c r="S191" s="2" t="str">
        <f aca="false">IF((E191="g"),H191," ")</f>
        <v> </v>
      </c>
      <c r="T191" s="2" t="str">
        <f aca="false">IF((E191="o"),H191," ")</f>
        <v> </v>
      </c>
      <c r="U191" s="2" t="str">
        <f aca="false">IF((E191="FS"),H191," ")</f>
        <v> </v>
      </c>
    </row>
    <row r="192" customFormat="false" ht="12" hidden="false" customHeight="false" outlineLevel="0" collapsed="false">
      <c r="E192" s="4" t="str">
        <f aca="false">IF((F192&lt;&gt;0),"Enter Letter"," ")</f>
        <v> </v>
      </c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  <c r="O192" s="2" t="str">
        <f aca="false">IF((E192="a"),H192," ")</f>
        <v> </v>
      </c>
      <c r="P192" s="2" t="str">
        <f aca="false">IF((E192="b"),H192," ")</f>
        <v> </v>
      </c>
      <c r="Q192" s="2" t="str">
        <f aca="false">IF((E192="c"),H192," ")</f>
        <v> </v>
      </c>
      <c r="R192" s="2" t="str">
        <f aca="false">IF((E192="d"),H192," ")</f>
        <v> </v>
      </c>
      <c r="S192" s="2" t="str">
        <f aca="false">IF((E192="g"),H192," ")</f>
        <v> </v>
      </c>
      <c r="T192" s="2" t="str">
        <f aca="false">IF((E192="o"),H192," ")</f>
        <v> </v>
      </c>
      <c r="U192" s="2" t="str">
        <f aca="false">IF((E192="FS"),H192," ")</f>
        <v> </v>
      </c>
    </row>
    <row r="193" customFormat="false" ht="12" hidden="false" customHeight="false" outlineLevel="0" collapsed="false">
      <c r="E193" s="4" t="str">
        <f aca="false">IF((F193&lt;&gt;0),"Enter Letter"," ")</f>
        <v> </v>
      </c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  <c r="O193" s="2" t="str">
        <f aca="false">IF((E193="a"),H193," ")</f>
        <v> </v>
      </c>
      <c r="P193" s="2" t="str">
        <f aca="false">IF((E193="b"),H193," ")</f>
        <v> </v>
      </c>
      <c r="Q193" s="2" t="str">
        <f aca="false">IF((E193="c"),H193," ")</f>
        <v> </v>
      </c>
      <c r="R193" s="2" t="str">
        <f aca="false">IF((E193="d"),H193," ")</f>
        <v> </v>
      </c>
      <c r="S193" s="2" t="str">
        <f aca="false">IF((E193="g"),H193," ")</f>
        <v> </v>
      </c>
      <c r="T193" s="2" t="str">
        <f aca="false">IF((E193="o"),H193," ")</f>
        <v> </v>
      </c>
      <c r="U193" s="2" t="str">
        <f aca="false">IF((E193="FS"),H193," ")</f>
        <v> </v>
      </c>
    </row>
    <row r="194" customFormat="false" ht="12" hidden="false" customHeight="false" outlineLevel="0" collapsed="false">
      <c r="E194" s="4" t="str">
        <f aca="false">IF((F194&lt;&gt;0),"Enter Letter"," ")</f>
        <v> </v>
      </c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  <c r="O194" s="2" t="str">
        <f aca="false">IF((E194="a"),H194," ")</f>
        <v> </v>
      </c>
      <c r="P194" s="2" t="str">
        <f aca="false">IF((E194="b"),H194," ")</f>
        <v> </v>
      </c>
      <c r="Q194" s="2" t="str">
        <f aca="false">IF((E194="c"),H194," ")</f>
        <v> </v>
      </c>
      <c r="R194" s="2" t="str">
        <f aca="false">IF((E194="d"),H194," ")</f>
        <v> </v>
      </c>
      <c r="S194" s="2" t="str">
        <f aca="false">IF((E194="g"),H194," ")</f>
        <v> </v>
      </c>
      <c r="T194" s="2" t="str">
        <f aca="false">IF((E194="o"),H194," ")</f>
        <v> </v>
      </c>
      <c r="U194" s="2" t="str">
        <f aca="false">IF((E194="FS"),H194," ")</f>
        <v> </v>
      </c>
    </row>
    <row r="195" customFormat="false" ht="12" hidden="false" customHeight="false" outlineLevel="0" collapsed="false">
      <c r="E195" s="4" t="str">
        <f aca="false">IF((F195&lt;&gt;0),"Enter Letter"," ")</f>
        <v> </v>
      </c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  <c r="O195" s="2" t="str">
        <f aca="false">IF((E195="a"),H195," ")</f>
        <v> </v>
      </c>
      <c r="P195" s="2" t="str">
        <f aca="false">IF((E195="b"),H195," ")</f>
        <v> </v>
      </c>
      <c r="Q195" s="2" t="str">
        <f aca="false">IF((E195="c"),H195," ")</f>
        <v> </v>
      </c>
      <c r="R195" s="2" t="str">
        <f aca="false">IF((E195="d"),H195," ")</f>
        <v> </v>
      </c>
      <c r="S195" s="2" t="str">
        <f aca="false">IF((E195="g"),H195," ")</f>
        <v> </v>
      </c>
      <c r="T195" s="2" t="str">
        <f aca="false">IF((E195="o"),H195," ")</f>
        <v> </v>
      </c>
      <c r="U195" s="2" t="str">
        <f aca="false">IF((E195="FS"),H195," ")</f>
        <v> </v>
      </c>
    </row>
    <row r="196" customFormat="false" ht="12" hidden="false" customHeight="false" outlineLevel="0" collapsed="false">
      <c r="E196" s="4" t="str">
        <f aca="false">IF((F196&lt;&gt;0),"Enter Letter"," ")</f>
        <v> </v>
      </c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  <c r="O196" s="2" t="str">
        <f aca="false">IF((E196="a"),H196," ")</f>
        <v> </v>
      </c>
      <c r="P196" s="2" t="str">
        <f aca="false">IF((E196="b"),H196," ")</f>
        <v> </v>
      </c>
      <c r="Q196" s="2" t="str">
        <f aca="false">IF((E196="c"),H196," ")</f>
        <v> </v>
      </c>
      <c r="R196" s="2" t="str">
        <f aca="false">IF((E196="d"),H196," ")</f>
        <v> </v>
      </c>
      <c r="S196" s="2" t="str">
        <f aca="false">IF((E196="g"),H196," ")</f>
        <v> </v>
      </c>
      <c r="T196" s="2" t="str">
        <f aca="false">IF((E196="o"),H196," ")</f>
        <v> </v>
      </c>
      <c r="U196" s="2" t="str">
        <f aca="false">IF((E196="FS"),H196," ")</f>
        <v> </v>
      </c>
    </row>
    <row r="197" customFormat="false" ht="12" hidden="false" customHeight="false" outlineLevel="0" collapsed="false">
      <c r="E197" s="4" t="str">
        <f aca="false">IF((F197&lt;&gt;0),"Enter Letter"," ")</f>
        <v> </v>
      </c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  <c r="O197" s="2" t="str">
        <f aca="false">IF((E197="a"),H197," ")</f>
        <v> </v>
      </c>
      <c r="P197" s="2" t="str">
        <f aca="false">IF((E197="b"),H197," ")</f>
        <v> </v>
      </c>
      <c r="Q197" s="2" t="str">
        <f aca="false">IF((E197="c"),H197," ")</f>
        <v> </v>
      </c>
      <c r="R197" s="2" t="str">
        <f aca="false">IF((E197="d"),H197," ")</f>
        <v> </v>
      </c>
      <c r="S197" s="2" t="str">
        <f aca="false">IF((E197="g"),H197," ")</f>
        <v> </v>
      </c>
      <c r="T197" s="2" t="str">
        <f aca="false">IF((E197="o"),H197," ")</f>
        <v> </v>
      </c>
      <c r="U197" s="2" t="str">
        <f aca="false">IF((E197="FS"),H197," ")</f>
        <v> </v>
      </c>
    </row>
    <row r="198" customFormat="false" ht="12" hidden="false" customHeight="false" outlineLevel="0" collapsed="false">
      <c r="E198" s="4" t="str">
        <f aca="false">IF((F198&lt;&gt;0),"Enter Letter"," ")</f>
        <v> </v>
      </c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  <c r="O198" s="2" t="str">
        <f aca="false">IF((E198="a"),H198," ")</f>
        <v> </v>
      </c>
      <c r="P198" s="2" t="str">
        <f aca="false">IF((E198="b"),H198," ")</f>
        <v> </v>
      </c>
      <c r="Q198" s="2" t="str">
        <f aca="false">IF((E198="c"),H198," ")</f>
        <v> </v>
      </c>
      <c r="R198" s="2" t="str">
        <f aca="false">IF((E198="d"),H198," ")</f>
        <v> </v>
      </c>
      <c r="S198" s="2" t="str">
        <f aca="false">IF((E198="g"),H198," ")</f>
        <v> </v>
      </c>
      <c r="T198" s="2" t="str">
        <f aca="false">IF((E198="o"),H198," ")</f>
        <v> </v>
      </c>
      <c r="U198" s="2" t="str">
        <f aca="false">IF((E198="FS"),H198," ")</f>
        <v> </v>
      </c>
    </row>
    <row r="199" customFormat="false" ht="12" hidden="false" customHeight="false" outlineLevel="0" collapsed="false">
      <c r="E199" s="4" t="str">
        <f aca="false">IF((F199&lt;&gt;0),"Enter Letter"," ")</f>
        <v> </v>
      </c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  <c r="O199" s="2" t="str">
        <f aca="false">IF((E199="a"),H199," ")</f>
        <v> </v>
      </c>
      <c r="P199" s="2" t="str">
        <f aca="false">IF((E199="b"),H199," ")</f>
        <v> </v>
      </c>
      <c r="Q199" s="2" t="str">
        <f aca="false">IF((E199="c"),H199," ")</f>
        <v> </v>
      </c>
      <c r="R199" s="2" t="str">
        <f aca="false">IF((E199="d"),H199," ")</f>
        <v> </v>
      </c>
      <c r="S199" s="2" t="str">
        <f aca="false">IF((E199="g"),H199," ")</f>
        <v> </v>
      </c>
      <c r="T199" s="2" t="str">
        <f aca="false">IF((E199="o"),H199," ")</f>
        <v> </v>
      </c>
      <c r="U199" s="2" t="str">
        <f aca="false">IF((E199="FS"),H199," ")</f>
        <v> </v>
      </c>
    </row>
    <row r="200" customFormat="false" ht="12" hidden="false" customHeight="false" outlineLevel="0" collapsed="false">
      <c r="E200" s="4" t="str">
        <f aca="false">IF((F200&lt;&gt;0),"Enter Letter"," ")</f>
        <v> </v>
      </c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  <c r="O200" s="2" t="str">
        <f aca="false">IF((E200="a"),H200," ")</f>
        <v> </v>
      </c>
      <c r="P200" s="2" t="str">
        <f aca="false">IF((E200="b"),H200," ")</f>
        <v> </v>
      </c>
      <c r="Q200" s="2" t="str">
        <f aca="false">IF((E200="c"),H200," ")</f>
        <v> </v>
      </c>
      <c r="R200" s="2" t="str">
        <f aca="false">IF((E200="d"),H200," ")</f>
        <v> </v>
      </c>
      <c r="S200" s="2" t="str">
        <f aca="false">IF((E200="g"),H200," ")</f>
        <v> </v>
      </c>
      <c r="T200" s="2" t="str">
        <f aca="false">IF((E200="o"),H200," ")</f>
        <v> </v>
      </c>
      <c r="U200" s="2" t="str">
        <f aca="false">IF((E200="FS"),H200," ")</f>
        <v> </v>
      </c>
    </row>
    <row r="201" customFormat="false" ht="12" hidden="false" customHeight="false" outlineLevel="0" collapsed="false">
      <c r="E201" s="4" t="str">
        <f aca="false">IF((F201&lt;&gt;0),"Enter Letter"," ")</f>
        <v> </v>
      </c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  <c r="O201" s="2" t="str">
        <f aca="false">IF((E201="a"),H201," ")</f>
        <v> </v>
      </c>
      <c r="P201" s="2" t="str">
        <f aca="false">IF((E201="b"),H201," ")</f>
        <v> </v>
      </c>
      <c r="Q201" s="2" t="str">
        <f aca="false">IF((E201="c"),H201," ")</f>
        <v> </v>
      </c>
      <c r="R201" s="2" t="str">
        <f aca="false">IF((E201="d"),H201," ")</f>
        <v> </v>
      </c>
      <c r="S201" s="2" t="str">
        <f aca="false">IF((E201="g"),H201," ")</f>
        <v> </v>
      </c>
      <c r="T201" s="2" t="str">
        <f aca="false">IF((E201="o"),H201," ")</f>
        <v> </v>
      </c>
      <c r="U201" s="2" t="str">
        <f aca="false">IF((E201="FS"),H201," ")</f>
        <v> </v>
      </c>
    </row>
    <row r="202" customFormat="false" ht="12" hidden="false" customHeight="false" outlineLevel="0" collapsed="false">
      <c r="E202" s="4" t="str">
        <f aca="false">IF((F202&lt;&gt;0),"Enter Letter"," ")</f>
        <v> </v>
      </c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  <c r="O202" s="2" t="str">
        <f aca="false">IF((E202="a"),H202," ")</f>
        <v> </v>
      </c>
      <c r="P202" s="2" t="str">
        <f aca="false">IF((E202="b"),H202," ")</f>
        <v> </v>
      </c>
      <c r="Q202" s="2" t="str">
        <f aca="false">IF((E202="c"),H202," ")</f>
        <v> </v>
      </c>
      <c r="R202" s="2" t="str">
        <f aca="false">IF((E202="d"),H202," ")</f>
        <v> </v>
      </c>
      <c r="S202" s="2" t="str">
        <f aca="false">IF((E202="g"),H202," ")</f>
        <v> </v>
      </c>
      <c r="T202" s="2" t="str">
        <f aca="false">IF((E202="o"),H202," ")</f>
        <v> </v>
      </c>
      <c r="U202" s="2" t="str">
        <f aca="false">IF((E202="FS"),H202," ")</f>
        <v> </v>
      </c>
    </row>
    <row r="203" customFormat="false" ht="12" hidden="false" customHeight="false" outlineLevel="0" collapsed="false">
      <c r="E203" s="4" t="str">
        <f aca="false">IF((F203&lt;&gt;0),"Enter Letter"," ")</f>
        <v> </v>
      </c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  <c r="O203" s="2" t="str">
        <f aca="false">IF((E203="a"),H203," ")</f>
        <v> </v>
      </c>
      <c r="P203" s="2" t="str">
        <f aca="false">IF((E203="b"),H203," ")</f>
        <v> </v>
      </c>
      <c r="Q203" s="2" t="str">
        <f aca="false">IF((E203="c"),H203," ")</f>
        <v> </v>
      </c>
      <c r="R203" s="2" t="str">
        <f aca="false">IF((E203="d"),H203," ")</f>
        <v> </v>
      </c>
      <c r="S203" s="2" t="str">
        <f aca="false">IF((E203="g"),H203," ")</f>
        <v> </v>
      </c>
      <c r="T203" s="2" t="str">
        <f aca="false">IF((E203="o"),H203," ")</f>
        <v> </v>
      </c>
      <c r="U203" s="2" t="str">
        <f aca="false">IF((E203="FS"),H203," ")</f>
        <v> </v>
      </c>
    </row>
    <row r="204" customFormat="false" ht="12" hidden="false" customHeight="false" outlineLevel="0" collapsed="false">
      <c r="E204" s="4" t="str">
        <f aca="false">IF((F204&lt;&gt;0),"Enter Letter"," ")</f>
        <v> </v>
      </c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  <c r="O204" s="2" t="str">
        <f aca="false">IF((E204="a"),H204," ")</f>
        <v> </v>
      </c>
      <c r="P204" s="2" t="str">
        <f aca="false">IF((E204="b"),H204," ")</f>
        <v> </v>
      </c>
      <c r="Q204" s="2" t="str">
        <f aca="false">IF((E204="c"),H204," ")</f>
        <v> </v>
      </c>
      <c r="R204" s="2" t="str">
        <f aca="false">IF((E204="d"),H204," ")</f>
        <v> </v>
      </c>
      <c r="S204" s="2" t="str">
        <f aca="false">IF((E204="g"),H204," ")</f>
        <v> </v>
      </c>
      <c r="T204" s="2" t="str">
        <f aca="false">IF((E204="o"),H204," ")</f>
        <v> </v>
      </c>
      <c r="U204" s="2" t="str">
        <f aca="false">IF((E204="FS"),H204," ")</f>
        <v> </v>
      </c>
    </row>
    <row r="205" customFormat="false" ht="12" hidden="false" customHeight="false" outlineLevel="0" collapsed="false">
      <c r="E205" s="4" t="str">
        <f aca="false">IF((F205&lt;&gt;0),"Enter Letter"," ")</f>
        <v> </v>
      </c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  <c r="O205" s="2" t="str">
        <f aca="false">IF((E205="a"),H205," ")</f>
        <v> </v>
      </c>
      <c r="P205" s="2" t="str">
        <f aca="false">IF((E205="b"),H205," ")</f>
        <v> </v>
      </c>
      <c r="Q205" s="2" t="str">
        <f aca="false">IF((E205="c"),H205," ")</f>
        <v> </v>
      </c>
      <c r="R205" s="2" t="str">
        <f aca="false">IF((E205="d"),H205," ")</f>
        <v> </v>
      </c>
      <c r="S205" s="2" t="str">
        <f aca="false">IF((E205="g"),H205," ")</f>
        <v> </v>
      </c>
      <c r="T205" s="2" t="str">
        <f aca="false">IF((E205="o"),H205," ")</f>
        <v> </v>
      </c>
      <c r="U205" s="2" t="str">
        <f aca="false">IF((E205="FS"),H205," ")</f>
        <v> </v>
      </c>
    </row>
    <row r="206" customFormat="false" ht="12" hidden="false" customHeight="false" outlineLevel="0" collapsed="false">
      <c r="E206" s="4" t="str">
        <f aca="false">IF((F206&lt;&gt;0),"Enter Letter"," ")</f>
        <v> </v>
      </c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  <c r="O206" s="2" t="str">
        <f aca="false">IF((E206="a"),H206," ")</f>
        <v> </v>
      </c>
      <c r="P206" s="2" t="str">
        <f aca="false">IF((E206="b"),H206," ")</f>
        <v> </v>
      </c>
      <c r="Q206" s="2" t="str">
        <f aca="false">IF((E206="c"),H206," ")</f>
        <v> </v>
      </c>
      <c r="R206" s="2" t="str">
        <f aca="false">IF((E206="d"),H206," ")</f>
        <v> </v>
      </c>
      <c r="S206" s="2" t="str">
        <f aca="false">IF((E206="g"),H206," ")</f>
        <v> </v>
      </c>
      <c r="T206" s="2" t="str">
        <f aca="false">IF((E206="o"),H206," ")</f>
        <v> </v>
      </c>
      <c r="U206" s="2" t="str">
        <f aca="false">IF((E206="FS"),H206," ")</f>
        <v> </v>
      </c>
    </row>
    <row r="207" customFormat="false" ht="12" hidden="false" customHeight="false" outlineLevel="0" collapsed="false">
      <c r="E207" s="4" t="str">
        <f aca="false">IF((F207&lt;&gt;0),"Enter Letter"," ")</f>
        <v> </v>
      </c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  <c r="O207" s="2" t="str">
        <f aca="false">IF((E207="a"),H207," ")</f>
        <v> </v>
      </c>
      <c r="P207" s="2" t="str">
        <f aca="false">IF((E207="b"),H207," ")</f>
        <v> </v>
      </c>
      <c r="Q207" s="2" t="str">
        <f aca="false">IF((E207="c"),H207," ")</f>
        <v> </v>
      </c>
      <c r="R207" s="2" t="str">
        <f aca="false">IF((E207="d"),H207," ")</f>
        <v> </v>
      </c>
      <c r="S207" s="2" t="str">
        <f aca="false">IF((E207="g"),H207," ")</f>
        <v> </v>
      </c>
      <c r="T207" s="2" t="str">
        <f aca="false">IF((E207="o"),H207," ")</f>
        <v> </v>
      </c>
      <c r="U207" s="2" t="str">
        <f aca="false">IF((E207="FS"),H207," ")</f>
        <v> </v>
      </c>
    </row>
    <row r="208" customFormat="false" ht="12" hidden="false" customHeight="false" outlineLevel="0" collapsed="false">
      <c r="E208" s="4" t="str">
        <f aca="false">IF((F208&lt;&gt;0),"Enter Letter"," ")</f>
        <v> </v>
      </c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  <c r="O208" s="2" t="str">
        <f aca="false">IF((E208="a"),H208," ")</f>
        <v> </v>
      </c>
      <c r="P208" s="2" t="str">
        <f aca="false">IF((E208="b"),H208," ")</f>
        <v> </v>
      </c>
      <c r="Q208" s="2" t="str">
        <f aca="false">IF((E208="c"),H208," ")</f>
        <v> </v>
      </c>
      <c r="R208" s="2" t="str">
        <f aca="false">IF((E208="d"),H208," ")</f>
        <v> </v>
      </c>
      <c r="S208" s="2" t="str">
        <f aca="false">IF((E208="g"),H208," ")</f>
        <v> </v>
      </c>
      <c r="T208" s="2" t="str">
        <f aca="false">IF((E208="o"),H208," ")</f>
        <v> </v>
      </c>
      <c r="U208" s="2" t="str">
        <f aca="false">IF((E208="FS"),H208," ")</f>
        <v> </v>
      </c>
    </row>
    <row r="209" customFormat="false" ht="12" hidden="false" customHeight="false" outlineLevel="0" collapsed="false">
      <c r="E209" s="4" t="str">
        <f aca="false">IF((F209&lt;&gt;0),"Enter Letter"," ")</f>
        <v> </v>
      </c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  <c r="O209" s="2" t="str">
        <f aca="false">IF((E209="a"),H209," ")</f>
        <v> </v>
      </c>
      <c r="P209" s="2" t="str">
        <f aca="false">IF((E209="b"),H209," ")</f>
        <v> </v>
      </c>
      <c r="Q209" s="2" t="str">
        <f aca="false">IF((E209="c"),H209," ")</f>
        <v> </v>
      </c>
      <c r="R209" s="2" t="str">
        <f aca="false">IF((E209="d"),H209," ")</f>
        <v> </v>
      </c>
      <c r="S209" s="2" t="str">
        <f aca="false">IF((E209="g"),H209," ")</f>
        <v> </v>
      </c>
      <c r="T209" s="2" t="str">
        <f aca="false">IF((E209="o"),H209," ")</f>
        <v> </v>
      </c>
      <c r="U209" s="2" t="str">
        <f aca="false">IF((E209="FS"),H209," ")</f>
        <v> </v>
      </c>
    </row>
    <row r="210" customFormat="false" ht="12" hidden="false" customHeight="false" outlineLevel="0" collapsed="false">
      <c r="E210" s="4" t="str">
        <f aca="false">IF((F210&lt;&gt;0),"Enter Letter"," ")</f>
        <v> </v>
      </c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  <c r="O210" s="2" t="str">
        <f aca="false">IF((E210="a"),H210," ")</f>
        <v> </v>
      </c>
      <c r="P210" s="2" t="str">
        <f aca="false">IF((E210="b"),H210," ")</f>
        <v> </v>
      </c>
      <c r="Q210" s="2" t="str">
        <f aca="false">IF((E210="c"),H210," ")</f>
        <v> </v>
      </c>
      <c r="R210" s="2" t="str">
        <f aca="false">IF((E210="d"),H210," ")</f>
        <v> </v>
      </c>
      <c r="S210" s="2" t="str">
        <f aca="false">IF((E210="g"),H210," ")</f>
        <v> </v>
      </c>
      <c r="T210" s="2" t="str">
        <f aca="false">IF((E210="o"),H210," ")</f>
        <v> </v>
      </c>
      <c r="U210" s="2" t="str">
        <f aca="false">IF((E210="FS"),H210," ")</f>
        <v> </v>
      </c>
    </row>
    <row r="211" customFormat="false" ht="12" hidden="false" customHeight="false" outlineLevel="0" collapsed="false">
      <c r="E211" s="4" t="str">
        <f aca="false">IF((F211&lt;&gt;0),"Enter Letter"," ")</f>
        <v> </v>
      </c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  <c r="O211" s="2" t="str">
        <f aca="false">IF((E211="a"),H211," ")</f>
        <v> </v>
      </c>
      <c r="P211" s="2" t="str">
        <f aca="false">IF((E211="b"),H211," ")</f>
        <v> </v>
      </c>
      <c r="Q211" s="2" t="str">
        <f aca="false">IF((E211="c"),H211," ")</f>
        <v> </v>
      </c>
      <c r="R211" s="2" t="str">
        <f aca="false">IF((E211="d"),H211," ")</f>
        <v> </v>
      </c>
      <c r="S211" s="2" t="str">
        <f aca="false">IF((E211="g"),H211," ")</f>
        <v> </v>
      </c>
      <c r="T211" s="2" t="str">
        <f aca="false">IF((E211="o"),H211," ")</f>
        <v> </v>
      </c>
      <c r="U211" s="2" t="str">
        <f aca="false">IF((E211="FS"),H211," ")</f>
        <v> </v>
      </c>
    </row>
    <row r="212" customFormat="false" ht="12" hidden="false" customHeight="false" outlineLevel="0" collapsed="false">
      <c r="E212" s="4" t="str">
        <f aca="false">IF((F212&lt;&gt;0),"Enter Letter"," ")</f>
        <v> </v>
      </c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  <c r="O212" s="2" t="str">
        <f aca="false">IF((E212="a"),H212," ")</f>
        <v> </v>
      </c>
      <c r="P212" s="2" t="str">
        <f aca="false">IF((E212="b"),H212," ")</f>
        <v> </v>
      </c>
      <c r="Q212" s="2" t="str">
        <f aca="false">IF((E212="c"),H212," ")</f>
        <v> </v>
      </c>
      <c r="R212" s="2" t="str">
        <f aca="false">IF((E212="d"),H212," ")</f>
        <v> </v>
      </c>
      <c r="S212" s="2" t="str">
        <f aca="false">IF((E212="g"),H212," ")</f>
        <v> </v>
      </c>
      <c r="T212" s="2" t="str">
        <f aca="false">IF((E212="o"),H212," ")</f>
        <v> </v>
      </c>
      <c r="U212" s="2" t="str">
        <f aca="false">IF((E212="FS"),H212," ")</f>
        <v> </v>
      </c>
    </row>
    <row r="213" customFormat="false" ht="12" hidden="false" customHeight="false" outlineLevel="0" collapsed="false">
      <c r="E213" s="4" t="str">
        <f aca="false">IF((F213&lt;&gt;0),"Enter Letter"," ")</f>
        <v> </v>
      </c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  <c r="O213" s="2" t="str">
        <f aca="false">IF((E213="a"),H213," ")</f>
        <v> </v>
      </c>
      <c r="P213" s="2" t="str">
        <f aca="false">IF((E213="b"),H213," ")</f>
        <v> </v>
      </c>
      <c r="Q213" s="2" t="str">
        <f aca="false">IF((E213="c"),H213," ")</f>
        <v> </v>
      </c>
      <c r="R213" s="2" t="str">
        <f aca="false">IF((E213="d"),H213," ")</f>
        <v> </v>
      </c>
      <c r="S213" s="2" t="str">
        <f aca="false">IF((E213="g"),H213," ")</f>
        <v> </v>
      </c>
      <c r="T213" s="2" t="str">
        <f aca="false">IF((E213="o"),H213," ")</f>
        <v> </v>
      </c>
      <c r="U213" s="2" t="str">
        <f aca="false">IF((E213="FS"),H213," ")</f>
        <v> </v>
      </c>
    </row>
    <row r="214" customFormat="false" ht="12" hidden="false" customHeight="false" outlineLevel="0" collapsed="false">
      <c r="E214" s="4" t="str">
        <f aca="false">IF((F214&lt;&gt;0),"Enter Letter"," ")</f>
        <v> </v>
      </c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  <c r="O214" s="2" t="str">
        <f aca="false">IF((E214="a"),H214," ")</f>
        <v> </v>
      </c>
      <c r="P214" s="2" t="str">
        <f aca="false">IF((E214="b"),H214," ")</f>
        <v> </v>
      </c>
      <c r="Q214" s="2" t="str">
        <f aca="false">IF((E214="c"),H214," ")</f>
        <v> </v>
      </c>
      <c r="R214" s="2" t="str">
        <f aca="false">IF((E214="d"),H214," ")</f>
        <v> </v>
      </c>
      <c r="S214" s="2" t="str">
        <f aca="false">IF((E214="g"),H214," ")</f>
        <v> </v>
      </c>
      <c r="T214" s="2" t="str">
        <f aca="false">IF((E214="o"),H214," ")</f>
        <v> </v>
      </c>
      <c r="U214" s="2" t="str">
        <f aca="false">IF((E214="FS"),H214," ")</f>
        <v> </v>
      </c>
    </row>
    <row r="215" customFormat="false" ht="12" hidden="false" customHeight="false" outlineLevel="0" collapsed="false">
      <c r="E215" s="4" t="str">
        <f aca="false">IF((F215&lt;&gt;0),"Enter Letter"," ")</f>
        <v> </v>
      </c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  <c r="O215" s="2" t="str">
        <f aca="false">IF((E215="a"),H215," ")</f>
        <v> </v>
      </c>
      <c r="P215" s="2" t="str">
        <f aca="false">IF((E215="b"),H215," ")</f>
        <v> </v>
      </c>
      <c r="Q215" s="2" t="str">
        <f aca="false">IF((E215="c"),H215," ")</f>
        <v> </v>
      </c>
      <c r="R215" s="2" t="str">
        <f aca="false">IF((E215="d"),H215," ")</f>
        <v> </v>
      </c>
      <c r="S215" s="2" t="str">
        <f aca="false">IF((E215="g"),H215," ")</f>
        <v> </v>
      </c>
      <c r="T215" s="2" t="str">
        <f aca="false">IF((E215="o"),H215," ")</f>
        <v> </v>
      </c>
      <c r="U215" s="2" t="str">
        <f aca="false">IF((E215="FS"),H215," ")</f>
        <v> </v>
      </c>
    </row>
    <row r="216" customFormat="false" ht="12" hidden="false" customHeight="false" outlineLevel="0" collapsed="false">
      <c r="E216" s="4" t="str">
        <f aca="false">IF((F216&lt;&gt;0),"Enter Letter"," ")</f>
        <v> </v>
      </c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  <c r="O216" s="2" t="str">
        <f aca="false">IF((E216="a"),H216," ")</f>
        <v> </v>
      </c>
      <c r="P216" s="2" t="str">
        <f aca="false">IF((E216="b"),H216," ")</f>
        <v> </v>
      </c>
      <c r="Q216" s="2" t="str">
        <f aca="false">IF((E216="c"),H216," ")</f>
        <v> </v>
      </c>
      <c r="R216" s="2" t="str">
        <f aca="false">IF((E216="d"),H216," ")</f>
        <v> </v>
      </c>
      <c r="S216" s="2" t="str">
        <f aca="false">IF((E216="g"),H216," ")</f>
        <v> </v>
      </c>
      <c r="T216" s="2" t="str">
        <f aca="false">IF((E216="o"),H216," ")</f>
        <v> </v>
      </c>
      <c r="U216" s="2" t="str">
        <f aca="false">IF((E216="FS"),H216," ")</f>
        <v> </v>
      </c>
    </row>
    <row r="217" customFormat="false" ht="12" hidden="false" customHeight="false" outlineLevel="0" collapsed="false">
      <c r="E217" s="4" t="str">
        <f aca="false">IF((F217&lt;&gt;0),"Enter Letter"," ")</f>
        <v> </v>
      </c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  <c r="O217" s="2" t="str">
        <f aca="false">IF((E217="a"),H217," ")</f>
        <v> </v>
      </c>
      <c r="P217" s="2" t="str">
        <f aca="false">IF((E217="b"),H217," ")</f>
        <v> </v>
      </c>
      <c r="Q217" s="2" t="str">
        <f aca="false">IF((E217="c"),H217," ")</f>
        <v> </v>
      </c>
      <c r="R217" s="2" t="str">
        <f aca="false">IF((E217="d"),H217," ")</f>
        <v> </v>
      </c>
      <c r="S217" s="2" t="str">
        <f aca="false">IF((E217="g"),H217," ")</f>
        <v> </v>
      </c>
      <c r="T217" s="2" t="str">
        <f aca="false">IF((E217="o"),H217," ")</f>
        <v> </v>
      </c>
      <c r="U217" s="2" t="str">
        <f aca="false">IF((E217="FS"),H217," ")</f>
        <v> </v>
      </c>
    </row>
    <row r="218" customFormat="false" ht="12" hidden="false" customHeight="false" outlineLevel="0" collapsed="false">
      <c r="E218" s="4" t="str">
        <f aca="false">IF((F218&lt;&gt;0),"Enter Letter"," ")</f>
        <v> </v>
      </c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  <c r="O218" s="2" t="str">
        <f aca="false">IF((E218="a"),H218," ")</f>
        <v> </v>
      </c>
      <c r="P218" s="2" t="str">
        <f aca="false">IF((E218="b"),H218," ")</f>
        <v> </v>
      </c>
      <c r="Q218" s="2" t="str">
        <f aca="false">IF((E218="c"),H218," ")</f>
        <v> </v>
      </c>
      <c r="R218" s="2" t="str">
        <f aca="false">IF((E218="d"),H218," ")</f>
        <v> </v>
      </c>
      <c r="S218" s="2" t="str">
        <f aca="false">IF((E218="g"),H218," ")</f>
        <v> </v>
      </c>
      <c r="T218" s="2" t="str">
        <f aca="false">IF((E218="o"),H218," ")</f>
        <v> </v>
      </c>
      <c r="U218" s="2" t="str">
        <f aca="false">IF((E218="FS"),H218," ")</f>
        <v> </v>
      </c>
    </row>
    <row r="219" customFormat="false" ht="12" hidden="false" customHeight="false" outlineLevel="0" collapsed="false">
      <c r="E219" s="4" t="str">
        <f aca="false">IF((F219&lt;&gt;0),"Enter Letter"," ")</f>
        <v> </v>
      </c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  <c r="O219" s="2" t="str">
        <f aca="false">IF((E219="a"),H219," ")</f>
        <v> </v>
      </c>
      <c r="P219" s="2" t="str">
        <f aca="false">IF((E219="b"),H219," ")</f>
        <v> </v>
      </c>
      <c r="Q219" s="2" t="str">
        <f aca="false">IF((E219="c"),H219," ")</f>
        <v> </v>
      </c>
      <c r="R219" s="2" t="str">
        <f aca="false">IF((E219="d"),H219," ")</f>
        <v> </v>
      </c>
      <c r="S219" s="2" t="str">
        <f aca="false">IF((E219="g"),H219," ")</f>
        <v> </v>
      </c>
      <c r="T219" s="2" t="str">
        <f aca="false">IF((E219="o"),H219," ")</f>
        <v> </v>
      </c>
      <c r="U219" s="2" t="str">
        <f aca="false">IF((E219="FS"),H219," ")</f>
        <v> </v>
      </c>
    </row>
    <row r="220" customFormat="false" ht="12" hidden="false" customHeight="false" outlineLevel="0" collapsed="false">
      <c r="E220" s="4" t="str">
        <f aca="false">IF((F220&lt;&gt;0),"Enter Letter"," ")</f>
        <v> </v>
      </c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  <c r="O220" s="2" t="str">
        <f aca="false">IF((E220="a"),H220," ")</f>
        <v> </v>
      </c>
      <c r="P220" s="2" t="str">
        <f aca="false">IF((E220="b"),H220," ")</f>
        <v> </v>
      </c>
      <c r="Q220" s="2" t="str">
        <f aca="false">IF((E220="c"),H220," ")</f>
        <v> </v>
      </c>
      <c r="R220" s="2" t="str">
        <f aca="false">IF((E220="d"),H220," ")</f>
        <v> </v>
      </c>
      <c r="S220" s="2" t="str">
        <f aca="false">IF((E220="g"),H220," ")</f>
        <v> </v>
      </c>
      <c r="T220" s="2" t="str">
        <f aca="false">IF((E220="o"),H220," ")</f>
        <v> </v>
      </c>
      <c r="U220" s="2" t="str">
        <f aca="false">IF((E220="FS"),H220," ")</f>
        <v> </v>
      </c>
    </row>
    <row r="221" customFormat="false" ht="12" hidden="false" customHeight="false" outlineLevel="0" collapsed="false">
      <c r="E221" s="4" t="str">
        <f aca="false">IF((F221&lt;&gt;0),"Enter Letter"," ")</f>
        <v> </v>
      </c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  <c r="O221" s="2" t="str">
        <f aca="false">IF((E221="a"),H221," ")</f>
        <v> </v>
      </c>
      <c r="P221" s="2" t="str">
        <f aca="false">IF((E221="b"),H221," ")</f>
        <v> </v>
      </c>
      <c r="Q221" s="2" t="str">
        <f aca="false">IF((E221="c"),H221," ")</f>
        <v> </v>
      </c>
      <c r="R221" s="2" t="str">
        <f aca="false">IF((E221="d"),H221," ")</f>
        <v> </v>
      </c>
      <c r="S221" s="2" t="str">
        <f aca="false">IF((E221="g"),H221," ")</f>
        <v> </v>
      </c>
      <c r="T221" s="2" t="str">
        <f aca="false">IF((E221="o"),H221," ")</f>
        <v> </v>
      </c>
      <c r="U221" s="2" t="str">
        <f aca="false">IF((E221="FS"),H221," ")</f>
        <v> </v>
      </c>
    </row>
    <row r="222" customFormat="false" ht="12" hidden="false" customHeight="false" outlineLevel="0" collapsed="false">
      <c r="E222" s="4" t="str">
        <f aca="false">IF((F222&lt;&gt;0),"Enter Letter"," ")</f>
        <v> </v>
      </c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  <c r="O222" s="2" t="str">
        <f aca="false">IF((E222="a"),H222," ")</f>
        <v> </v>
      </c>
      <c r="P222" s="2" t="str">
        <f aca="false">IF((E222="b"),H222," ")</f>
        <v> </v>
      </c>
      <c r="Q222" s="2" t="str">
        <f aca="false">IF((E222="c"),H222," ")</f>
        <v> </v>
      </c>
      <c r="R222" s="2" t="str">
        <f aca="false">IF((E222="d"),H222," ")</f>
        <v> </v>
      </c>
      <c r="S222" s="2" t="str">
        <f aca="false">IF((E222="g"),H222," ")</f>
        <v> </v>
      </c>
      <c r="T222" s="2" t="str">
        <f aca="false">IF((E222="o"),H222," ")</f>
        <v> </v>
      </c>
      <c r="U222" s="2" t="str">
        <f aca="false">IF((E222="FS"),H222," ")</f>
        <v> </v>
      </c>
    </row>
    <row r="223" customFormat="false" ht="12" hidden="false" customHeight="false" outlineLevel="0" collapsed="false">
      <c r="E223" s="4" t="str">
        <f aca="false">IF((F223&lt;&gt;0),"Enter Letter"," ")</f>
        <v> </v>
      </c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  <c r="O223" s="2" t="str">
        <f aca="false">IF((E223="a"),H223," ")</f>
        <v> </v>
      </c>
      <c r="P223" s="2" t="str">
        <f aca="false">IF((E223="b"),H223," ")</f>
        <v> </v>
      </c>
      <c r="Q223" s="2" t="str">
        <f aca="false">IF((E223="c"),H223," ")</f>
        <v> </v>
      </c>
      <c r="R223" s="2" t="str">
        <f aca="false">IF((E223="d"),H223," ")</f>
        <v> </v>
      </c>
      <c r="S223" s="2" t="str">
        <f aca="false">IF((E223="g"),H223," ")</f>
        <v> </v>
      </c>
      <c r="T223" s="2" t="str">
        <f aca="false">IF((E223="o"),H223," ")</f>
        <v> </v>
      </c>
      <c r="U223" s="2" t="str">
        <f aca="false">IF((E223="FS"),H223," ")</f>
        <v> </v>
      </c>
    </row>
    <row r="224" customFormat="false" ht="12" hidden="false" customHeight="false" outlineLevel="0" collapsed="false">
      <c r="E224" s="4" t="str">
        <f aca="false">IF((F224&lt;&gt;0),"Enter Letter"," ")</f>
        <v> </v>
      </c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  <c r="O224" s="2" t="str">
        <f aca="false">IF((E224="a"),H224," ")</f>
        <v> </v>
      </c>
      <c r="P224" s="2" t="str">
        <f aca="false">IF((E224="b"),H224," ")</f>
        <v> </v>
      </c>
      <c r="Q224" s="2" t="str">
        <f aca="false">IF((E224="c"),H224," ")</f>
        <v> </v>
      </c>
      <c r="R224" s="2" t="str">
        <f aca="false">IF((E224="d"),H224," ")</f>
        <v> </v>
      </c>
      <c r="S224" s="2" t="str">
        <f aca="false">IF((E224="g"),H224," ")</f>
        <v> </v>
      </c>
      <c r="T224" s="2" t="str">
        <f aca="false">IF((E224="o"),H224," ")</f>
        <v> </v>
      </c>
      <c r="U224" s="2" t="str">
        <f aca="false">IF((E224="FS"),H224," ")</f>
        <v> </v>
      </c>
    </row>
    <row r="225" customFormat="false" ht="12" hidden="false" customHeight="false" outlineLevel="0" collapsed="false">
      <c r="E225" s="4" t="str">
        <f aca="false">IF((F225&lt;&gt;0),"Enter Letter"," ")</f>
        <v> </v>
      </c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  <c r="O225" s="2" t="str">
        <f aca="false">IF((E225="a"),H225," ")</f>
        <v> </v>
      </c>
      <c r="P225" s="2" t="str">
        <f aca="false">IF((E225="b"),H225," ")</f>
        <v> </v>
      </c>
      <c r="Q225" s="2" t="str">
        <f aca="false">IF((E225="c"),H225," ")</f>
        <v> </v>
      </c>
      <c r="R225" s="2" t="str">
        <f aca="false">IF((E225="d"),H225," ")</f>
        <v> </v>
      </c>
      <c r="S225" s="2" t="str">
        <f aca="false">IF((E225="g"),H225," ")</f>
        <v> </v>
      </c>
      <c r="T225" s="2" t="str">
        <f aca="false">IF((E225="o"),H225," ")</f>
        <v> </v>
      </c>
      <c r="U225" s="2" t="str">
        <f aca="false">IF((E225="FS"),H225," ")</f>
        <v> </v>
      </c>
    </row>
    <row r="226" customFormat="false" ht="12" hidden="false" customHeight="false" outlineLevel="0" collapsed="false">
      <c r="E226" s="4" t="str">
        <f aca="false">IF((F226&lt;&gt;0),"Enter Letter"," ")</f>
        <v> </v>
      </c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  <c r="O226" s="2" t="str">
        <f aca="false">IF((E226="a"),H226," ")</f>
        <v> </v>
      </c>
      <c r="P226" s="2" t="str">
        <f aca="false">IF((E226="b"),H226," ")</f>
        <v> </v>
      </c>
      <c r="Q226" s="2" t="str">
        <f aca="false">IF((E226="c"),H226," ")</f>
        <v> </v>
      </c>
      <c r="R226" s="2" t="str">
        <f aca="false">IF((E226="d"),H226," ")</f>
        <v> </v>
      </c>
      <c r="S226" s="2" t="str">
        <f aca="false">IF((E226="g"),H226," ")</f>
        <v> </v>
      </c>
      <c r="T226" s="2" t="str">
        <f aca="false">IF((E226="o"),H226," ")</f>
        <v> </v>
      </c>
      <c r="U226" s="2" t="str">
        <f aca="false">IF((E226="FS"),H226," ")</f>
        <v> </v>
      </c>
    </row>
    <row r="227" customFormat="false" ht="12" hidden="false" customHeight="false" outlineLevel="0" collapsed="false">
      <c r="E227" s="4" t="str">
        <f aca="false">IF((F227&lt;&gt;0),"Enter Letter"," ")</f>
        <v> </v>
      </c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  <c r="O227" s="2" t="str">
        <f aca="false">IF((E227="a"),H227," ")</f>
        <v> </v>
      </c>
      <c r="P227" s="2" t="str">
        <f aca="false">IF((E227="b"),H227," ")</f>
        <v> </v>
      </c>
      <c r="Q227" s="2" t="str">
        <f aca="false">IF((E227="c"),H227," ")</f>
        <v> </v>
      </c>
      <c r="R227" s="2" t="str">
        <f aca="false">IF((E227="d"),H227," ")</f>
        <v> </v>
      </c>
      <c r="S227" s="2" t="str">
        <f aca="false">IF((E227="g"),H227," ")</f>
        <v> </v>
      </c>
      <c r="T227" s="2" t="str">
        <f aca="false">IF((E227="o"),H227," ")</f>
        <v> </v>
      </c>
      <c r="U227" s="2" t="str">
        <f aca="false">IF((E227="FS"),H227," ")</f>
        <v> </v>
      </c>
    </row>
    <row r="228" customFormat="false" ht="12" hidden="false" customHeight="false" outlineLevel="0" collapsed="false">
      <c r="E228" s="4" t="str">
        <f aca="false">IF((F228&lt;&gt;0),"Enter Letter"," ")</f>
        <v> </v>
      </c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  <c r="O228" s="2" t="str">
        <f aca="false">IF((E228="a"),H228," ")</f>
        <v> </v>
      </c>
      <c r="P228" s="2" t="str">
        <f aca="false">IF((E228="b"),H228," ")</f>
        <v> </v>
      </c>
      <c r="Q228" s="2" t="str">
        <f aca="false">IF((E228="c"),H228," ")</f>
        <v> </v>
      </c>
      <c r="R228" s="2" t="str">
        <f aca="false">IF((E228="d"),H228," ")</f>
        <v> </v>
      </c>
      <c r="S228" s="2" t="str">
        <f aca="false">IF((E228="g"),H228," ")</f>
        <v> </v>
      </c>
      <c r="T228" s="2" t="str">
        <f aca="false">IF((E228="o"),H228," ")</f>
        <v> </v>
      </c>
      <c r="U228" s="2" t="str">
        <f aca="false">IF((E228="FS"),H228," ")</f>
        <v> </v>
      </c>
    </row>
    <row r="229" customFormat="false" ht="12" hidden="false" customHeight="false" outlineLevel="0" collapsed="false">
      <c r="E229" s="4" t="str">
        <f aca="false">IF((F229&lt;&gt;0),"Enter Letter"," ")</f>
        <v> </v>
      </c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  <c r="O229" s="2" t="str">
        <f aca="false">IF((E229="a"),H229," ")</f>
        <v> </v>
      </c>
      <c r="P229" s="2" t="str">
        <f aca="false">IF((E229="b"),H229," ")</f>
        <v> </v>
      </c>
      <c r="Q229" s="2" t="str">
        <f aca="false">IF((E229="c"),H229," ")</f>
        <v> </v>
      </c>
      <c r="R229" s="2" t="str">
        <f aca="false">IF((E229="d"),H229," ")</f>
        <v> </v>
      </c>
      <c r="S229" s="2" t="str">
        <f aca="false">IF((E229="g"),H229," ")</f>
        <v> </v>
      </c>
      <c r="T229" s="2" t="str">
        <f aca="false">IF((E229="o"),H229," ")</f>
        <v> </v>
      </c>
      <c r="U229" s="2" t="str">
        <f aca="false">IF((E229="FS"),H229," ")</f>
        <v> </v>
      </c>
    </row>
    <row r="230" customFormat="false" ht="12" hidden="false" customHeight="false" outlineLevel="0" collapsed="false">
      <c r="E230" s="4" t="str">
        <f aca="false">IF((F230&lt;&gt;0),"Enter Letter"," ")</f>
        <v> </v>
      </c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  <c r="O230" s="2" t="str">
        <f aca="false">IF((E230="a"),H230," ")</f>
        <v> </v>
      </c>
      <c r="P230" s="2" t="str">
        <f aca="false">IF((E230="b"),H230," ")</f>
        <v> </v>
      </c>
      <c r="Q230" s="2" t="str">
        <f aca="false">IF((E230="c"),H230," ")</f>
        <v> </v>
      </c>
      <c r="R230" s="2" t="str">
        <f aca="false">IF((E230="d"),H230," ")</f>
        <v> </v>
      </c>
      <c r="S230" s="2" t="str">
        <f aca="false">IF((E230="g"),H230," ")</f>
        <v> </v>
      </c>
      <c r="T230" s="2" t="str">
        <f aca="false">IF((E230="o"),H230," ")</f>
        <v> </v>
      </c>
      <c r="U230" s="2" t="str">
        <f aca="false">IF((E230="FS"),H230," ")</f>
        <v> </v>
      </c>
    </row>
    <row r="231" customFormat="false" ht="12" hidden="false" customHeight="false" outlineLevel="0" collapsed="false">
      <c r="E231" s="4" t="str">
        <f aca="false">IF((F231&lt;&gt;0),"Enter Letter"," ")</f>
        <v> </v>
      </c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  <c r="O231" s="2" t="str">
        <f aca="false">IF((E231="a"),H231," ")</f>
        <v> </v>
      </c>
      <c r="P231" s="2" t="str">
        <f aca="false">IF((E231="b"),H231," ")</f>
        <v> </v>
      </c>
      <c r="Q231" s="2" t="str">
        <f aca="false">IF((E231="c"),H231," ")</f>
        <v> </v>
      </c>
      <c r="R231" s="2" t="str">
        <f aca="false">IF((E231="d"),H231," ")</f>
        <v> </v>
      </c>
      <c r="S231" s="2" t="str">
        <f aca="false">IF((E231="g"),H231," ")</f>
        <v> </v>
      </c>
      <c r="T231" s="2" t="str">
        <f aca="false">IF((E231="o"),H231," ")</f>
        <v> </v>
      </c>
      <c r="U231" s="2" t="str">
        <f aca="false">IF((E231="FS"),H231," ")</f>
        <v> </v>
      </c>
    </row>
    <row r="232" customFormat="false" ht="12" hidden="false" customHeight="false" outlineLevel="0" collapsed="false">
      <c r="E232" s="4" t="str">
        <f aca="false">IF((F232&lt;&gt;0),"Enter Letter"," ")</f>
        <v> </v>
      </c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  <c r="O232" s="2" t="str">
        <f aca="false">IF((E232="a"),H232," ")</f>
        <v> </v>
      </c>
      <c r="P232" s="2" t="str">
        <f aca="false">IF((E232="b"),H232," ")</f>
        <v> </v>
      </c>
      <c r="Q232" s="2" t="str">
        <f aca="false">IF((E232="c"),H232," ")</f>
        <v> </v>
      </c>
      <c r="R232" s="2" t="str">
        <f aca="false">IF((E232="d"),H232," ")</f>
        <v> </v>
      </c>
      <c r="S232" s="2" t="str">
        <f aca="false">IF((E232="g"),H232," ")</f>
        <v> </v>
      </c>
      <c r="T232" s="2" t="str">
        <f aca="false">IF((E232="o"),H232," ")</f>
        <v> </v>
      </c>
      <c r="U232" s="2" t="str">
        <f aca="false">IF((E232="FS"),H232," ")</f>
        <v> </v>
      </c>
    </row>
    <row r="233" customFormat="false" ht="12" hidden="false" customHeight="false" outlineLevel="0" collapsed="false">
      <c r="E233" s="4" t="str">
        <f aca="false">IF((F233&lt;&gt;0),"Enter Letter"," ")</f>
        <v> </v>
      </c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  <c r="O233" s="2" t="str">
        <f aca="false">IF((E233="a"),H233," ")</f>
        <v> </v>
      </c>
      <c r="P233" s="2" t="str">
        <f aca="false">IF((E233="b"),H233," ")</f>
        <v> </v>
      </c>
      <c r="Q233" s="2" t="str">
        <f aca="false">IF((E233="c"),H233," ")</f>
        <v> </v>
      </c>
      <c r="R233" s="2" t="str">
        <f aca="false">IF((E233="d"),H233," ")</f>
        <v> </v>
      </c>
      <c r="S233" s="2" t="str">
        <f aca="false">IF((E233="g"),H233," ")</f>
        <v> </v>
      </c>
      <c r="T233" s="2" t="str">
        <f aca="false">IF((E233="o"),H233," ")</f>
        <v> </v>
      </c>
      <c r="U233" s="2" t="str">
        <f aca="false">IF((E233="FS"),H233," ")</f>
        <v> </v>
      </c>
    </row>
    <row r="234" customFormat="false" ht="12" hidden="false" customHeight="false" outlineLevel="0" collapsed="false">
      <c r="E234" s="4" t="str">
        <f aca="false">IF((F234&lt;&gt;0),"Enter Letter"," ")</f>
        <v> </v>
      </c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  <c r="O234" s="2" t="str">
        <f aca="false">IF((E234="a"),H234," ")</f>
        <v> </v>
      </c>
      <c r="P234" s="2" t="str">
        <f aca="false">IF((E234="b"),H234," ")</f>
        <v> </v>
      </c>
      <c r="Q234" s="2" t="str">
        <f aca="false">IF((E234="c"),H234," ")</f>
        <v> </v>
      </c>
      <c r="R234" s="2" t="str">
        <f aca="false">IF((E234="d"),H234," ")</f>
        <v> </v>
      </c>
      <c r="S234" s="2" t="str">
        <f aca="false">IF((E234="g"),H234," ")</f>
        <v> </v>
      </c>
      <c r="T234" s="2" t="str">
        <f aca="false">IF((E234="o"),H234," ")</f>
        <v> </v>
      </c>
      <c r="U234" s="2" t="str">
        <f aca="false">IF((E234="FS"),H234," ")</f>
        <v> </v>
      </c>
    </row>
    <row r="235" customFormat="false" ht="12" hidden="false" customHeight="false" outlineLevel="0" collapsed="false">
      <c r="E235" s="4" t="str">
        <f aca="false">IF((F235&lt;&gt;0),"Enter Letter"," ")</f>
        <v> </v>
      </c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  <c r="O235" s="2" t="str">
        <f aca="false">IF((E235="a"),H235," ")</f>
        <v> </v>
      </c>
      <c r="P235" s="2" t="str">
        <f aca="false">IF((E235="b"),H235," ")</f>
        <v> </v>
      </c>
      <c r="Q235" s="2" t="str">
        <f aca="false">IF((E235="c"),H235," ")</f>
        <v> </v>
      </c>
      <c r="R235" s="2" t="str">
        <f aca="false">IF((E235="d"),H235," ")</f>
        <v> </v>
      </c>
      <c r="S235" s="2" t="str">
        <f aca="false">IF((E235="g"),H235," ")</f>
        <v> </v>
      </c>
      <c r="T235" s="2" t="str">
        <f aca="false">IF((E235="o"),H235," ")</f>
        <v> </v>
      </c>
      <c r="U235" s="2" t="str">
        <f aca="false">IF((E235="FS"),H235," ")</f>
        <v> </v>
      </c>
    </row>
    <row r="236" customFormat="false" ht="12" hidden="false" customHeight="false" outlineLevel="0" collapsed="false">
      <c r="E236" s="4" t="str">
        <f aca="false">IF((F236&lt;&gt;0),"Enter Letter"," ")</f>
        <v> </v>
      </c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  <c r="O236" s="2" t="str">
        <f aca="false">IF((E236="a"),H236," ")</f>
        <v> </v>
      </c>
      <c r="P236" s="2" t="str">
        <f aca="false">IF((E236="b"),H236," ")</f>
        <v> </v>
      </c>
      <c r="Q236" s="2" t="str">
        <f aca="false">IF((E236="c"),H236," ")</f>
        <v> </v>
      </c>
      <c r="R236" s="2" t="str">
        <f aca="false">IF((E236="d"),H236," ")</f>
        <v> </v>
      </c>
      <c r="S236" s="2" t="str">
        <f aca="false">IF((E236="g"),H236," ")</f>
        <v> </v>
      </c>
      <c r="T236" s="2" t="str">
        <f aca="false">IF((E236="o"),H236," ")</f>
        <v> </v>
      </c>
      <c r="U236" s="2" t="str">
        <f aca="false">IF((E236="FS"),H236," ")</f>
        <v> </v>
      </c>
    </row>
    <row r="237" customFormat="false" ht="12" hidden="false" customHeight="false" outlineLevel="0" collapsed="false">
      <c r="E237" s="4" t="str">
        <f aca="false">IF((F237&lt;&gt;0),"Enter Letter"," ")</f>
        <v> </v>
      </c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  <c r="O237" s="2" t="str">
        <f aca="false">IF((E237="a"),H237," ")</f>
        <v> </v>
      </c>
      <c r="P237" s="2" t="str">
        <f aca="false">IF((E237="b"),H237," ")</f>
        <v> </v>
      </c>
      <c r="Q237" s="2" t="str">
        <f aca="false">IF((E237="c"),H237," ")</f>
        <v> </v>
      </c>
      <c r="R237" s="2" t="str">
        <f aca="false">IF((E237="d"),H237," ")</f>
        <v> </v>
      </c>
      <c r="S237" s="2" t="str">
        <f aca="false">IF((E237="g"),H237," ")</f>
        <v> </v>
      </c>
      <c r="T237" s="2" t="str">
        <f aca="false">IF((E237="o"),H237," ")</f>
        <v> </v>
      </c>
      <c r="U237" s="2" t="str">
        <f aca="false">IF((E237="FS"),H237," ")</f>
        <v> </v>
      </c>
    </row>
    <row r="238" customFormat="false" ht="12" hidden="false" customHeight="false" outlineLevel="0" collapsed="false">
      <c r="E238" s="4" t="str">
        <f aca="false">IF((F238&lt;&gt;0),"Enter Letter"," ")</f>
        <v> </v>
      </c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  <c r="O238" s="2" t="str">
        <f aca="false">IF((E238="a"),H238," ")</f>
        <v> </v>
      </c>
      <c r="P238" s="2" t="str">
        <f aca="false">IF((E238="b"),H238," ")</f>
        <v> </v>
      </c>
      <c r="Q238" s="2" t="str">
        <f aca="false">IF((E238="c"),H238," ")</f>
        <v> </v>
      </c>
      <c r="R238" s="2" t="str">
        <f aca="false">IF((E238="d"),H238," ")</f>
        <v> </v>
      </c>
      <c r="S238" s="2" t="str">
        <f aca="false">IF((E238="g"),H238," ")</f>
        <v> </v>
      </c>
      <c r="T238" s="2" t="str">
        <f aca="false">IF((E238="o"),H238," ")</f>
        <v> </v>
      </c>
      <c r="U238" s="2" t="str">
        <f aca="false">IF((E238="FS"),H238," ")</f>
        <v> </v>
      </c>
    </row>
    <row r="239" customFormat="false" ht="12" hidden="false" customHeight="false" outlineLevel="0" collapsed="false">
      <c r="E239" s="4" t="str">
        <f aca="false">IF((F239&lt;&gt;0),"Enter Letter"," ")</f>
        <v> </v>
      </c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  <c r="O239" s="2" t="str">
        <f aca="false">IF((E239="a"),H239," ")</f>
        <v> </v>
      </c>
      <c r="P239" s="2" t="str">
        <f aca="false">IF((E239="b"),H239," ")</f>
        <v> </v>
      </c>
      <c r="Q239" s="2" t="str">
        <f aca="false">IF((E239="c"),H239," ")</f>
        <v> </v>
      </c>
      <c r="R239" s="2" t="str">
        <f aca="false">IF((E239="d"),H239," ")</f>
        <v> </v>
      </c>
      <c r="S239" s="2" t="str">
        <f aca="false">IF((E239="g"),H239," ")</f>
        <v> </v>
      </c>
      <c r="T239" s="2" t="str">
        <f aca="false">IF((E239="o"),H239," ")</f>
        <v> </v>
      </c>
      <c r="U239" s="2" t="str">
        <f aca="false">IF((E239="FS"),H239," ")</f>
        <v> </v>
      </c>
    </row>
    <row r="240" customFormat="false" ht="12" hidden="false" customHeight="false" outlineLevel="0" collapsed="false">
      <c r="E240" s="4" t="str">
        <f aca="false">IF((F240&lt;&gt;0),"Enter Letter"," ")</f>
        <v> </v>
      </c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  <c r="O240" s="2" t="str">
        <f aca="false">IF((E240="a"),H240," ")</f>
        <v> </v>
      </c>
      <c r="P240" s="2" t="str">
        <f aca="false">IF((E240="b"),H240," ")</f>
        <v> </v>
      </c>
      <c r="Q240" s="2" t="str">
        <f aca="false">IF((E240="c"),H240," ")</f>
        <v> </v>
      </c>
      <c r="R240" s="2" t="str">
        <f aca="false">IF((E240="d"),H240," ")</f>
        <v> </v>
      </c>
      <c r="S240" s="2" t="str">
        <f aca="false">IF((E240="g"),H240," ")</f>
        <v> </v>
      </c>
      <c r="T240" s="2" t="str">
        <f aca="false">IF((E240="o"),H240," ")</f>
        <v> </v>
      </c>
      <c r="U240" s="2" t="str">
        <f aca="false">IF((E240="FS"),H240," ")</f>
        <v> </v>
      </c>
    </row>
    <row r="241" customFormat="false" ht="12" hidden="false" customHeight="false" outlineLevel="0" collapsed="false">
      <c r="E241" s="4" t="str">
        <f aca="false">IF((F241&lt;&gt;0),"Enter Letter"," ")</f>
        <v> </v>
      </c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  <c r="O241" s="2" t="str">
        <f aca="false">IF((E241="a"),H241," ")</f>
        <v> </v>
      </c>
      <c r="P241" s="2" t="str">
        <f aca="false">IF((E241="b"),H241," ")</f>
        <v> </v>
      </c>
      <c r="Q241" s="2" t="str">
        <f aca="false">IF((E241="c"),H241," ")</f>
        <v> </v>
      </c>
      <c r="R241" s="2" t="str">
        <f aca="false">IF((E241="d"),H241," ")</f>
        <v> </v>
      </c>
      <c r="S241" s="2" t="str">
        <f aca="false">IF((E241="g"),H241," ")</f>
        <v> </v>
      </c>
      <c r="T241" s="2" t="str">
        <f aca="false">IF((E241="o"),H241," ")</f>
        <v> </v>
      </c>
      <c r="U241" s="2" t="str">
        <f aca="false">IF((E241="FS"),H241," ")</f>
        <v> </v>
      </c>
    </row>
    <row r="242" customFormat="false" ht="12" hidden="false" customHeight="false" outlineLevel="0" collapsed="false">
      <c r="E242" s="4" t="str">
        <f aca="false">IF((F242&lt;&gt;0),"Enter Letter"," ")</f>
        <v> </v>
      </c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  <c r="O242" s="2" t="str">
        <f aca="false">IF((E242="a"),H242," ")</f>
        <v> </v>
      </c>
      <c r="P242" s="2" t="str">
        <f aca="false">IF((E242="b"),H242," ")</f>
        <v> </v>
      </c>
      <c r="Q242" s="2" t="str">
        <f aca="false">IF((E242="c"),H242," ")</f>
        <v> </v>
      </c>
      <c r="R242" s="2" t="str">
        <f aca="false">IF((E242="d"),H242," ")</f>
        <v> </v>
      </c>
      <c r="S242" s="2" t="str">
        <f aca="false">IF((E242="g"),H242," ")</f>
        <v> </v>
      </c>
      <c r="T242" s="2" t="str">
        <f aca="false">IF((E242="o"),H242," ")</f>
        <v> </v>
      </c>
      <c r="U242" s="2" t="str">
        <f aca="false">IF((E242="FS"),H242," ")</f>
        <v> </v>
      </c>
    </row>
    <row r="243" customFormat="false" ht="12" hidden="false" customHeight="false" outlineLevel="0" collapsed="false">
      <c r="E243" s="4" t="str">
        <f aca="false">IF((F243&lt;&gt;0),"Enter Letter"," ")</f>
        <v> </v>
      </c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  <c r="O243" s="2" t="str">
        <f aca="false">IF((E243="a"),H243," ")</f>
        <v> </v>
      </c>
      <c r="P243" s="2" t="str">
        <f aca="false">IF((E243="b"),H243," ")</f>
        <v> </v>
      </c>
      <c r="Q243" s="2" t="str">
        <f aca="false">IF((E243="c"),H243," ")</f>
        <v> </v>
      </c>
      <c r="R243" s="2" t="str">
        <f aca="false">IF((E243="d"),H243," ")</f>
        <v> </v>
      </c>
      <c r="S243" s="2" t="str">
        <f aca="false">IF((E243="g"),H243," ")</f>
        <v> </v>
      </c>
      <c r="T243" s="2" t="str">
        <f aca="false">IF((E243="o"),H243," ")</f>
        <v> </v>
      </c>
      <c r="U243" s="2" t="str">
        <f aca="false">IF((E243="FS"),H243," ")</f>
        <v> </v>
      </c>
    </row>
    <row r="244" customFormat="false" ht="12" hidden="false" customHeight="false" outlineLevel="0" collapsed="false">
      <c r="E244" s="4" t="str">
        <f aca="false">IF((F244&lt;&gt;0),"Enter Letter"," ")</f>
        <v> </v>
      </c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  <c r="O244" s="2" t="str">
        <f aca="false">IF((E244="a"),H244," ")</f>
        <v> </v>
      </c>
      <c r="P244" s="2" t="str">
        <f aca="false">IF((E244="b"),H244," ")</f>
        <v> </v>
      </c>
      <c r="Q244" s="2" t="str">
        <f aca="false">IF((E244="c"),H244," ")</f>
        <v> </v>
      </c>
      <c r="R244" s="2" t="str">
        <f aca="false">IF((E244="d"),H244," ")</f>
        <v> </v>
      </c>
      <c r="S244" s="2" t="str">
        <f aca="false">IF((E244="g"),H244," ")</f>
        <v> </v>
      </c>
      <c r="T244" s="2" t="str">
        <f aca="false">IF((E244="o"),H244," ")</f>
        <v> </v>
      </c>
      <c r="U244" s="2" t="str">
        <f aca="false">IF((E244="FS"),H244," ")</f>
        <v> </v>
      </c>
    </row>
    <row r="245" customFormat="false" ht="12" hidden="false" customHeight="false" outlineLevel="0" collapsed="false">
      <c r="E245" s="4" t="str">
        <f aca="false">IF((F245&lt;&gt;0),"Enter Letter"," ")</f>
        <v> </v>
      </c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  <c r="O245" s="2" t="str">
        <f aca="false">IF((E245="a"),H245," ")</f>
        <v> </v>
      </c>
      <c r="P245" s="2" t="str">
        <f aca="false">IF((E245="b"),H245," ")</f>
        <v> </v>
      </c>
      <c r="Q245" s="2" t="str">
        <f aca="false">IF((E245="c"),H245," ")</f>
        <v> </v>
      </c>
      <c r="R245" s="2" t="str">
        <f aca="false">IF((E245="d"),H245," ")</f>
        <v> </v>
      </c>
      <c r="S245" s="2" t="str">
        <f aca="false">IF((E245="g"),H245," ")</f>
        <v> </v>
      </c>
      <c r="T245" s="2" t="str">
        <f aca="false">IF((E245="o"),H245," ")</f>
        <v> </v>
      </c>
      <c r="U245" s="2" t="str">
        <f aca="false">IF((E245="FS"),H245," ")</f>
        <v> </v>
      </c>
    </row>
    <row r="246" customFormat="false" ht="12" hidden="false" customHeight="false" outlineLevel="0" collapsed="false">
      <c r="E246" s="4" t="str">
        <f aca="false">IF((F246&lt;&gt;0),"Enter Letter"," ")</f>
        <v> </v>
      </c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  <c r="O246" s="2" t="str">
        <f aca="false">IF((E246="a"),H246," ")</f>
        <v> </v>
      </c>
      <c r="P246" s="2" t="str">
        <f aca="false">IF((E246="b"),H246," ")</f>
        <v> </v>
      </c>
      <c r="Q246" s="2" t="str">
        <f aca="false">IF((E246="c"),H246," ")</f>
        <v> </v>
      </c>
      <c r="R246" s="2" t="str">
        <f aca="false">IF((E246="d"),H246," ")</f>
        <v> </v>
      </c>
      <c r="S246" s="2" t="str">
        <f aca="false">IF((E246="g"),H246," ")</f>
        <v> </v>
      </c>
      <c r="T246" s="2" t="str">
        <f aca="false">IF((E246="o"),H246," ")</f>
        <v> </v>
      </c>
      <c r="U246" s="2" t="str">
        <f aca="false">IF((E246="FS"),H246," ")</f>
        <v> </v>
      </c>
    </row>
    <row r="247" customFormat="false" ht="12" hidden="false" customHeight="false" outlineLevel="0" collapsed="false">
      <c r="E247" s="4" t="str">
        <f aca="false">IF((F247&lt;&gt;0),"Enter Letter"," ")</f>
        <v> </v>
      </c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  <c r="O247" s="2" t="str">
        <f aca="false">IF((E247="a"),H247," ")</f>
        <v> </v>
      </c>
      <c r="P247" s="2" t="str">
        <f aca="false">IF((E247="b"),H247," ")</f>
        <v> </v>
      </c>
      <c r="Q247" s="2" t="str">
        <f aca="false">IF((E247="c"),H247," ")</f>
        <v> </v>
      </c>
      <c r="R247" s="2" t="str">
        <f aca="false">IF((E247="d"),H247," ")</f>
        <v> </v>
      </c>
      <c r="S247" s="2" t="str">
        <f aca="false">IF((E247="g"),H247," ")</f>
        <v> </v>
      </c>
      <c r="T247" s="2" t="str">
        <f aca="false">IF((E247="o"),H247," ")</f>
        <v> </v>
      </c>
      <c r="U247" s="2" t="str">
        <f aca="false">IF((E247="FS"),H247," ")</f>
        <v> </v>
      </c>
    </row>
    <row r="248" customFormat="false" ht="12" hidden="false" customHeight="false" outlineLevel="0" collapsed="false">
      <c r="E248" s="4" t="str">
        <f aca="false">IF((F248&lt;&gt;0),"Enter Letter"," ")</f>
        <v> </v>
      </c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  <c r="O248" s="2" t="str">
        <f aca="false">IF((E248="a"),H248," ")</f>
        <v> </v>
      </c>
      <c r="P248" s="2" t="str">
        <f aca="false">IF((E248="b"),H248," ")</f>
        <v> </v>
      </c>
      <c r="Q248" s="2" t="str">
        <f aca="false">IF((E248="c"),H248," ")</f>
        <v> </v>
      </c>
      <c r="R248" s="2" t="str">
        <f aca="false">IF((E248="d"),H248," ")</f>
        <v> </v>
      </c>
      <c r="S248" s="2" t="str">
        <f aca="false">IF((E248="g"),H248," ")</f>
        <v> </v>
      </c>
      <c r="T248" s="2" t="str">
        <f aca="false">IF((E248="o"),H248," ")</f>
        <v> </v>
      </c>
      <c r="U248" s="2" t="str">
        <f aca="false">IF((E248="FS"),H248," ")</f>
        <v> </v>
      </c>
    </row>
    <row r="249" customFormat="false" ht="12" hidden="false" customHeight="false" outlineLevel="0" collapsed="false">
      <c r="E249" s="4" t="str">
        <f aca="false">IF((F249&lt;&gt;0),"Enter Letter"," ")</f>
        <v> </v>
      </c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  <c r="O249" s="2" t="str">
        <f aca="false">IF((E249="a"),H249," ")</f>
        <v> </v>
      </c>
      <c r="P249" s="2" t="str">
        <f aca="false">IF((E249="b"),H249," ")</f>
        <v> </v>
      </c>
      <c r="Q249" s="2" t="str">
        <f aca="false">IF((E249="c"),H249," ")</f>
        <v> </v>
      </c>
      <c r="R249" s="2" t="str">
        <f aca="false">IF((E249="d"),H249," ")</f>
        <v> </v>
      </c>
      <c r="S249" s="2" t="str">
        <f aca="false">IF((E249="g"),H249," ")</f>
        <v> </v>
      </c>
      <c r="T249" s="2" t="str">
        <f aca="false">IF((E249="o"),H249," ")</f>
        <v> </v>
      </c>
      <c r="U249" s="2" t="str">
        <f aca="false">IF((E249="FS"),H249," ")</f>
        <v> </v>
      </c>
    </row>
    <row r="250" customFormat="false" ht="12" hidden="false" customHeight="false" outlineLevel="0" collapsed="false">
      <c r="E250" s="4" t="str">
        <f aca="false">IF((F250&lt;&gt;0),"Enter Letter"," ")</f>
        <v> </v>
      </c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  <c r="O250" s="2" t="str">
        <f aca="false">IF((E250="a"),H250," ")</f>
        <v> </v>
      </c>
      <c r="P250" s="2" t="str">
        <f aca="false">IF((E250="b"),H250," ")</f>
        <v> </v>
      </c>
      <c r="Q250" s="2" t="str">
        <f aca="false">IF((E250="c"),H250," ")</f>
        <v> </v>
      </c>
      <c r="R250" s="2" t="str">
        <f aca="false">IF((E250="d"),H250," ")</f>
        <v> </v>
      </c>
      <c r="S250" s="2" t="str">
        <f aca="false">IF((E250="g"),H250," ")</f>
        <v> </v>
      </c>
      <c r="T250" s="2" t="str">
        <f aca="false">IF((E250="o"),H250," ")</f>
        <v> </v>
      </c>
      <c r="U250" s="2" t="str">
        <f aca="false">IF((E250="FS"),H250," ")</f>
        <v> </v>
      </c>
    </row>
    <row r="251" customFormat="false" ht="12" hidden="false" customHeight="false" outlineLevel="0" collapsed="false">
      <c r="E251" s="4" t="str">
        <f aca="false">IF((F251&lt;&gt;0),"Enter Letter"," ")</f>
        <v> </v>
      </c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  <c r="O251" s="2" t="str">
        <f aca="false">IF((E251="a"),H251," ")</f>
        <v> </v>
      </c>
      <c r="P251" s="2" t="str">
        <f aca="false">IF((E251="b"),H251," ")</f>
        <v> </v>
      </c>
      <c r="Q251" s="2" t="str">
        <f aca="false">IF((E251="c"),H251," ")</f>
        <v> </v>
      </c>
      <c r="R251" s="2" t="str">
        <f aca="false">IF((E251="d"),H251," ")</f>
        <v> </v>
      </c>
      <c r="S251" s="2" t="str">
        <f aca="false">IF((E251="g"),H251," ")</f>
        <v> </v>
      </c>
      <c r="T251" s="2" t="str">
        <f aca="false">IF((E251="o"),H251," ")</f>
        <v> </v>
      </c>
      <c r="U251" s="2" t="str">
        <f aca="false">IF((E251="FS"),H251," ")</f>
        <v> </v>
      </c>
    </row>
    <row r="252" customFormat="false" ht="12" hidden="false" customHeight="false" outlineLevel="0" collapsed="false">
      <c r="E252" s="4" t="str">
        <f aca="false">IF((F252&lt;&gt;0),"Enter Letter"," ")</f>
        <v> </v>
      </c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  <c r="O252" s="2" t="str">
        <f aca="false">IF((E252="a"),H252," ")</f>
        <v> </v>
      </c>
      <c r="P252" s="2" t="str">
        <f aca="false">IF((E252="b"),H252," ")</f>
        <v> </v>
      </c>
      <c r="Q252" s="2" t="str">
        <f aca="false">IF((E252="c"),H252," ")</f>
        <v> </v>
      </c>
      <c r="R252" s="2" t="str">
        <f aca="false">IF((E252="d"),H252," ")</f>
        <v> </v>
      </c>
      <c r="S252" s="2" t="str">
        <f aca="false">IF((E252="g"),H252," ")</f>
        <v> </v>
      </c>
      <c r="T252" s="2" t="str">
        <f aca="false">IF((E252="o"),H252," ")</f>
        <v> </v>
      </c>
      <c r="U252" s="2" t="str">
        <f aca="false">IF((E252="FS"),H252," ")</f>
        <v> </v>
      </c>
    </row>
    <row r="253" customFormat="false" ht="12" hidden="false" customHeight="false" outlineLevel="0" collapsed="false">
      <c r="E253" s="4" t="str">
        <f aca="false">IF((F253&lt;&gt;0),"Enter Letter"," ")</f>
        <v> </v>
      </c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  <c r="O253" s="2" t="str">
        <f aca="false">IF((E253="a"),H253," ")</f>
        <v> </v>
      </c>
      <c r="P253" s="2" t="str">
        <f aca="false">IF((E253="b"),H253," ")</f>
        <v> </v>
      </c>
      <c r="Q253" s="2" t="str">
        <f aca="false">IF((E253="c"),H253," ")</f>
        <v> </v>
      </c>
      <c r="R253" s="2" t="str">
        <f aca="false">IF((E253="d"),H253," ")</f>
        <v> </v>
      </c>
      <c r="S253" s="2" t="str">
        <f aca="false">IF((E253="g"),H253," ")</f>
        <v> </v>
      </c>
      <c r="T253" s="2" t="str">
        <f aca="false">IF((E253="o"),H253," ")</f>
        <v> </v>
      </c>
      <c r="U253" s="2" t="str">
        <f aca="false">IF((E253="FS"),H253," ")</f>
        <v> </v>
      </c>
    </row>
    <row r="254" customFormat="false" ht="12" hidden="false" customHeight="false" outlineLevel="0" collapsed="false">
      <c r="E254" s="4" t="str">
        <f aca="false">IF((F254&lt;&gt;0),"Enter Letter"," ")</f>
        <v> </v>
      </c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  <c r="O254" s="2" t="str">
        <f aca="false">IF((E254="a"),H254," ")</f>
        <v> </v>
      </c>
      <c r="P254" s="2" t="str">
        <f aca="false">IF((E254="b"),H254," ")</f>
        <v> </v>
      </c>
      <c r="Q254" s="2" t="str">
        <f aca="false">IF((E254="c"),H254," ")</f>
        <v> </v>
      </c>
      <c r="R254" s="2" t="str">
        <f aca="false">IF((E254="d"),H254," ")</f>
        <v> </v>
      </c>
      <c r="S254" s="2" t="str">
        <f aca="false">IF((E254="g"),H254," ")</f>
        <v> </v>
      </c>
      <c r="T254" s="2" t="str">
        <f aca="false">IF((E254="o"),H254," ")</f>
        <v> </v>
      </c>
      <c r="U254" s="2" t="str">
        <f aca="false">IF((E254="FS"),H254," ")</f>
        <v> </v>
      </c>
    </row>
    <row r="255" customFormat="false" ht="12" hidden="false" customHeight="false" outlineLevel="0" collapsed="false">
      <c r="E255" s="4" t="str">
        <f aca="false">IF((F255&lt;&gt;0),"Enter Letter"," ")</f>
        <v> </v>
      </c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  <c r="O255" s="2" t="str">
        <f aca="false">IF((E255="a"),H255," ")</f>
        <v> </v>
      </c>
      <c r="P255" s="2" t="str">
        <f aca="false">IF((E255="b"),H255," ")</f>
        <v> </v>
      </c>
      <c r="Q255" s="2" t="str">
        <f aca="false">IF((E255="c"),H255," ")</f>
        <v> </v>
      </c>
      <c r="R255" s="2" t="str">
        <f aca="false">IF((E255="d"),H255," ")</f>
        <v> </v>
      </c>
      <c r="S255" s="2" t="str">
        <f aca="false">IF((E255="g"),H255," ")</f>
        <v> </v>
      </c>
      <c r="T255" s="2" t="str">
        <f aca="false">IF((E255="o"),H255," ")</f>
        <v> </v>
      </c>
      <c r="U255" s="2" t="str">
        <f aca="false">IF((E255="FS"),H255," ")</f>
        <v> </v>
      </c>
    </row>
    <row r="256" customFormat="false" ht="12" hidden="false" customHeight="false" outlineLevel="0" collapsed="false">
      <c r="E256" s="4" t="str">
        <f aca="false">IF((F256&lt;&gt;0),"Enter Letter"," ")</f>
        <v> </v>
      </c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  <c r="O256" s="2" t="str">
        <f aca="false">IF((E256="a"),H256," ")</f>
        <v> </v>
      </c>
      <c r="P256" s="2" t="str">
        <f aca="false">IF((E256="b"),H256," ")</f>
        <v> </v>
      </c>
      <c r="Q256" s="2" t="str">
        <f aca="false">IF((E256="c"),H256," ")</f>
        <v> </v>
      </c>
      <c r="R256" s="2" t="str">
        <f aca="false">IF((E256="d"),H256," ")</f>
        <v> </v>
      </c>
      <c r="S256" s="2" t="str">
        <f aca="false">IF((E256="g"),H256," ")</f>
        <v> </v>
      </c>
      <c r="T256" s="2" t="str">
        <f aca="false">IF((E256="o"),H256," ")</f>
        <v> </v>
      </c>
      <c r="U256" s="2" t="str">
        <f aca="false">IF((E256="FS"),H256," ")</f>
        <v> </v>
      </c>
    </row>
    <row r="257" customFormat="false" ht="12" hidden="false" customHeight="false" outlineLevel="0" collapsed="false">
      <c r="E257" s="4" t="str">
        <f aca="false">IF((F257&lt;&gt;0),"Enter Letter"," ")</f>
        <v> </v>
      </c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  <c r="O257" s="2" t="str">
        <f aca="false">IF((E257="a"),H257," ")</f>
        <v> </v>
      </c>
      <c r="P257" s="2" t="str">
        <f aca="false">IF((E257="b"),H257," ")</f>
        <v> </v>
      </c>
      <c r="Q257" s="2" t="str">
        <f aca="false">IF((E257="c"),H257," ")</f>
        <v> </v>
      </c>
      <c r="R257" s="2" t="str">
        <f aca="false">IF((E257="d"),H257," ")</f>
        <v> </v>
      </c>
      <c r="S257" s="2" t="str">
        <f aca="false">IF((E257="g"),H257," ")</f>
        <v> </v>
      </c>
      <c r="T257" s="2" t="str">
        <f aca="false">IF((E257="o"),H257," ")</f>
        <v> </v>
      </c>
      <c r="U257" s="2" t="str">
        <f aca="false">IF((E257="FS"),H257," ")</f>
        <v> </v>
      </c>
    </row>
    <row r="258" customFormat="false" ht="12" hidden="false" customHeight="false" outlineLevel="0" collapsed="false">
      <c r="E258" s="4" t="str">
        <f aca="false">IF((F258&lt;&gt;0),"Enter Letter"," ")</f>
        <v> </v>
      </c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  <c r="O258" s="2" t="str">
        <f aca="false">IF((E258="a"),H258," ")</f>
        <v> </v>
      </c>
      <c r="P258" s="2" t="str">
        <f aca="false">IF((E258="b"),H258," ")</f>
        <v> </v>
      </c>
      <c r="Q258" s="2" t="str">
        <f aca="false">IF((E258="c"),H258," ")</f>
        <v> </v>
      </c>
      <c r="R258" s="2" t="str">
        <f aca="false">IF((E258="d"),H258," ")</f>
        <v> </v>
      </c>
      <c r="S258" s="2" t="str">
        <f aca="false">IF((E258="g"),H258," ")</f>
        <v> </v>
      </c>
      <c r="T258" s="2" t="str">
        <f aca="false">IF((E258="o"),H258," ")</f>
        <v> </v>
      </c>
      <c r="U258" s="2" t="str">
        <f aca="false">IF((E258="FS"),H258," ")</f>
        <v> </v>
      </c>
    </row>
    <row r="259" customFormat="false" ht="12" hidden="false" customHeight="false" outlineLevel="0" collapsed="false">
      <c r="E259" s="4" t="str">
        <f aca="false">IF((F259&lt;&gt;0),"Enter Letter"," ")</f>
        <v> </v>
      </c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  <c r="O259" s="2" t="str">
        <f aca="false">IF((E259="a"),H259," ")</f>
        <v> </v>
      </c>
      <c r="P259" s="2" t="str">
        <f aca="false">IF((E259="b"),H259," ")</f>
        <v> </v>
      </c>
      <c r="Q259" s="2" t="str">
        <f aca="false">IF((E259="c"),H259," ")</f>
        <v> </v>
      </c>
      <c r="R259" s="2" t="str">
        <f aca="false">IF((E259="d"),H259," ")</f>
        <v> </v>
      </c>
      <c r="S259" s="2" t="str">
        <f aca="false">IF((E259="g"),H259," ")</f>
        <v> </v>
      </c>
      <c r="T259" s="2" t="str">
        <f aca="false">IF((E259="o"),H259," ")</f>
        <v> </v>
      </c>
      <c r="U259" s="2" t="str">
        <f aca="false">IF((E259="FS"),H259," ")</f>
        <v> </v>
      </c>
    </row>
    <row r="260" customFormat="false" ht="12" hidden="false" customHeight="false" outlineLevel="0" collapsed="false">
      <c r="E260" s="4" t="str">
        <f aca="false">IF((F260&lt;&gt;0),"Enter Letter"," ")</f>
        <v> </v>
      </c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  <c r="O260" s="2" t="str">
        <f aca="false">IF((E260="a"),H260," ")</f>
        <v> </v>
      </c>
      <c r="P260" s="2" t="str">
        <f aca="false">IF((E260="b"),H260," ")</f>
        <v> </v>
      </c>
      <c r="Q260" s="2" t="str">
        <f aca="false">IF((E260="c"),H260," ")</f>
        <v> </v>
      </c>
      <c r="R260" s="2" t="str">
        <f aca="false">IF((E260="d"),H260," ")</f>
        <v> </v>
      </c>
      <c r="S260" s="2" t="str">
        <f aca="false">IF((E260="g"),H260," ")</f>
        <v> </v>
      </c>
      <c r="T260" s="2" t="str">
        <f aca="false">IF((E260="o"),H260," ")</f>
        <v> </v>
      </c>
      <c r="U260" s="2" t="str">
        <f aca="false">IF((E260="FS"),H260," ")</f>
        <v> </v>
      </c>
    </row>
    <row r="261" customFormat="false" ht="12" hidden="false" customHeight="false" outlineLevel="0" collapsed="false">
      <c r="E261" s="4" t="str">
        <f aca="false">IF((F261&lt;&gt;0),"Enter Letter"," ")</f>
        <v> </v>
      </c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  <c r="O261" s="2" t="str">
        <f aca="false">IF((E261="a"),H261," ")</f>
        <v> </v>
      </c>
      <c r="P261" s="2" t="str">
        <f aca="false">IF((E261="b"),H261," ")</f>
        <v> </v>
      </c>
      <c r="Q261" s="2" t="str">
        <f aca="false">IF((E261="c"),H261," ")</f>
        <v> </v>
      </c>
      <c r="R261" s="2" t="str">
        <f aca="false">IF((E261="d"),H261," ")</f>
        <v> </v>
      </c>
      <c r="S261" s="2" t="str">
        <f aca="false">IF((E261="g"),H261," ")</f>
        <v> </v>
      </c>
      <c r="T261" s="2" t="str">
        <f aca="false">IF((E261="o"),H261," ")</f>
        <v> </v>
      </c>
      <c r="U261" s="2" t="str">
        <f aca="false">IF((E261="FS"),H261," ")</f>
        <v> </v>
      </c>
    </row>
    <row r="262" customFormat="false" ht="12" hidden="false" customHeight="false" outlineLevel="0" collapsed="false">
      <c r="E262" s="4" t="str">
        <f aca="false">IF((F262&lt;&gt;0),"Enter Letter"," ")</f>
        <v> </v>
      </c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  <c r="O262" s="2" t="str">
        <f aca="false">IF((E262="a"),H262," ")</f>
        <v> </v>
      </c>
      <c r="P262" s="2" t="str">
        <f aca="false">IF((E262="b"),H262," ")</f>
        <v> </v>
      </c>
      <c r="Q262" s="2" t="str">
        <f aca="false">IF((E262="c"),H262," ")</f>
        <v> </v>
      </c>
      <c r="R262" s="2" t="str">
        <f aca="false">IF((E262="d"),H262," ")</f>
        <v> </v>
      </c>
      <c r="S262" s="2" t="str">
        <f aca="false">IF((E262="g"),H262," ")</f>
        <v> </v>
      </c>
      <c r="T262" s="2" t="str">
        <f aca="false">IF((E262="o"),H262," ")</f>
        <v> </v>
      </c>
      <c r="U262" s="2" t="str">
        <f aca="false">IF((E262="FS"),H262," ")</f>
        <v> </v>
      </c>
    </row>
    <row r="263" customFormat="false" ht="12" hidden="false" customHeight="false" outlineLevel="0" collapsed="false">
      <c r="E263" s="4" t="str">
        <f aca="false">IF((F263&lt;&gt;0),"Enter Letter"," ")</f>
        <v> </v>
      </c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  <c r="O263" s="2" t="str">
        <f aca="false">IF((E263="a"),H263," ")</f>
        <v> </v>
      </c>
      <c r="P263" s="2" t="str">
        <f aca="false">IF((E263="b"),H263," ")</f>
        <v> </v>
      </c>
      <c r="Q263" s="2" t="str">
        <f aca="false">IF((E263="c"),H263," ")</f>
        <v> </v>
      </c>
      <c r="R263" s="2" t="str">
        <f aca="false">IF((E263="d"),H263," ")</f>
        <v> </v>
      </c>
      <c r="S263" s="2" t="str">
        <f aca="false">IF((E263="g"),H263," ")</f>
        <v> </v>
      </c>
      <c r="T263" s="2" t="str">
        <f aca="false">IF((E263="o"),H263," ")</f>
        <v> </v>
      </c>
      <c r="U263" s="2" t="str">
        <f aca="false">IF((E263="FS"),H263," ")</f>
        <v> </v>
      </c>
    </row>
    <row r="264" customFormat="false" ht="12" hidden="false" customHeight="false" outlineLevel="0" collapsed="false">
      <c r="E264" s="4" t="str">
        <f aca="false">IF((F264&lt;&gt;0),"Enter Letter"," ")</f>
        <v> </v>
      </c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  <c r="O264" s="2" t="str">
        <f aca="false">IF((E264="a"),H264," ")</f>
        <v> </v>
      </c>
      <c r="P264" s="2" t="str">
        <f aca="false">IF((E264="b"),H264," ")</f>
        <v> </v>
      </c>
      <c r="Q264" s="2" t="str">
        <f aca="false">IF((E264="c"),H264," ")</f>
        <v> </v>
      </c>
      <c r="R264" s="2" t="str">
        <f aca="false">IF((E264="d"),H264," ")</f>
        <v> </v>
      </c>
      <c r="S264" s="2" t="str">
        <f aca="false">IF((E264="g"),H264," ")</f>
        <v> </v>
      </c>
      <c r="T264" s="2" t="str">
        <f aca="false">IF((E264="o"),H264," ")</f>
        <v> </v>
      </c>
      <c r="U264" s="2" t="str">
        <f aca="false">IF((E264="FS"),H264," ")</f>
        <v> </v>
      </c>
    </row>
    <row r="265" customFormat="false" ht="12" hidden="false" customHeight="false" outlineLevel="0" collapsed="false">
      <c r="E265" s="4" t="str">
        <f aca="false">IF((F265&lt;&gt;0),"Enter Letter"," ")</f>
        <v> </v>
      </c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  <c r="O265" s="2" t="str">
        <f aca="false">IF((E265="a"),H265," ")</f>
        <v> </v>
      </c>
      <c r="P265" s="2" t="str">
        <f aca="false">IF((E265="b"),H265," ")</f>
        <v> </v>
      </c>
      <c r="Q265" s="2" t="str">
        <f aca="false">IF((E265="c"),H265," ")</f>
        <v> </v>
      </c>
      <c r="R265" s="2" t="str">
        <f aca="false">IF((E265="d"),H265," ")</f>
        <v> </v>
      </c>
      <c r="S265" s="2" t="str">
        <f aca="false">IF((E265="g"),H265," ")</f>
        <v> </v>
      </c>
      <c r="T265" s="2" t="str">
        <f aca="false">IF((E265="o"),H265," ")</f>
        <v> </v>
      </c>
      <c r="U265" s="2" t="str">
        <f aca="false">IF((E265="FS"),H265," ")</f>
        <v> </v>
      </c>
    </row>
    <row r="266" customFormat="false" ht="12" hidden="false" customHeight="false" outlineLevel="0" collapsed="false">
      <c r="E266" s="4" t="str">
        <f aca="false">IF((F266&lt;&gt;0),"Enter Letter"," ")</f>
        <v> </v>
      </c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  <c r="O266" s="2" t="str">
        <f aca="false">IF((E266="a"),H266," ")</f>
        <v> </v>
      </c>
      <c r="P266" s="2" t="str">
        <f aca="false">IF((E266="b"),H266," ")</f>
        <v> </v>
      </c>
      <c r="Q266" s="2" t="str">
        <f aca="false">IF((E266="c"),H266," ")</f>
        <v> </v>
      </c>
      <c r="R266" s="2" t="str">
        <f aca="false">IF((E266="d"),H266," ")</f>
        <v> </v>
      </c>
      <c r="S266" s="2" t="str">
        <f aca="false">IF((E266="g"),H266," ")</f>
        <v> </v>
      </c>
      <c r="T266" s="2" t="str">
        <f aca="false">IF((E266="o"),H266," ")</f>
        <v> </v>
      </c>
      <c r="U266" s="2" t="str">
        <f aca="false">IF((E266="FS"),H266," ")</f>
        <v> </v>
      </c>
    </row>
    <row r="267" customFormat="false" ht="12" hidden="false" customHeight="false" outlineLevel="0" collapsed="false">
      <c r="E267" s="4" t="str">
        <f aca="false">IF((F267&lt;&gt;0),"Enter Letter"," ")</f>
        <v> </v>
      </c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  <c r="O267" s="2" t="str">
        <f aca="false">IF((E267="a"),H267," ")</f>
        <v> </v>
      </c>
      <c r="P267" s="2" t="str">
        <f aca="false">IF((E267="b"),H267," ")</f>
        <v> </v>
      </c>
      <c r="Q267" s="2" t="str">
        <f aca="false">IF((E267="c"),H267," ")</f>
        <v> </v>
      </c>
      <c r="R267" s="2" t="str">
        <f aca="false">IF((E267="d"),H267," ")</f>
        <v> </v>
      </c>
      <c r="S267" s="2" t="str">
        <f aca="false">IF((E267="g"),H267," ")</f>
        <v> </v>
      </c>
      <c r="T267" s="2" t="str">
        <f aca="false">IF((E267="o"),H267," ")</f>
        <v> </v>
      </c>
      <c r="U267" s="2" t="str">
        <f aca="false">IF((E267="FS"),H267," ")</f>
        <v> </v>
      </c>
    </row>
    <row r="268" customFormat="false" ht="12" hidden="false" customHeight="false" outlineLevel="0" collapsed="false">
      <c r="E268" s="4" t="str">
        <f aca="false">IF((F268&lt;&gt;0),"Enter Letter"," ")</f>
        <v> </v>
      </c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  <c r="O268" s="2" t="str">
        <f aca="false">IF((E268="a"),H268," ")</f>
        <v> </v>
      </c>
      <c r="P268" s="2" t="str">
        <f aca="false">IF((E268="b"),H268," ")</f>
        <v> </v>
      </c>
      <c r="Q268" s="2" t="str">
        <f aca="false">IF((E268="c"),H268," ")</f>
        <v> </v>
      </c>
      <c r="R268" s="2" t="str">
        <f aca="false">IF((E268="d"),H268," ")</f>
        <v> </v>
      </c>
      <c r="S268" s="2" t="str">
        <f aca="false">IF((E268="g"),H268," ")</f>
        <v> </v>
      </c>
      <c r="T268" s="2" t="str">
        <f aca="false">IF((E268="o"),H268," ")</f>
        <v> </v>
      </c>
      <c r="U268" s="2" t="str">
        <f aca="false">IF((E268="FS"),H268," ")</f>
        <v> </v>
      </c>
    </row>
    <row r="269" customFormat="false" ht="12" hidden="false" customHeight="false" outlineLevel="0" collapsed="false">
      <c r="E269" s="4" t="str">
        <f aca="false">IF((F269&lt;&gt;0),"Enter Letter"," ")</f>
        <v> </v>
      </c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  <c r="O269" s="2" t="str">
        <f aca="false">IF((E269="a"),H269," ")</f>
        <v> </v>
      </c>
      <c r="P269" s="2" t="str">
        <f aca="false">IF((E269="b"),H269," ")</f>
        <v> </v>
      </c>
      <c r="Q269" s="2" t="str">
        <f aca="false">IF((E269="c"),H269," ")</f>
        <v> </v>
      </c>
      <c r="R269" s="2" t="str">
        <f aca="false">IF((E269="d"),H269," ")</f>
        <v> </v>
      </c>
      <c r="S269" s="2" t="str">
        <f aca="false">IF((E269="g"),H269," ")</f>
        <v> </v>
      </c>
      <c r="T269" s="2" t="str">
        <f aca="false">IF((E269="o"),H269," ")</f>
        <v> </v>
      </c>
      <c r="U269" s="2" t="str">
        <f aca="false">IF((E269="FS"),H269," ")</f>
        <v> </v>
      </c>
    </row>
    <row r="270" customFormat="false" ht="12" hidden="false" customHeight="false" outlineLevel="0" collapsed="false">
      <c r="E270" s="4" t="str">
        <f aca="false">IF((F270&lt;&gt;0),"Enter Letter"," ")</f>
        <v> </v>
      </c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  <c r="O270" s="2" t="str">
        <f aca="false">IF((E270="a"),H270," ")</f>
        <v> </v>
      </c>
      <c r="P270" s="2" t="str">
        <f aca="false">IF((E270="b"),H270," ")</f>
        <v> </v>
      </c>
      <c r="Q270" s="2" t="str">
        <f aca="false">IF((E270="c"),H270," ")</f>
        <v> </v>
      </c>
      <c r="R270" s="2" t="str">
        <f aca="false">IF((E270="d"),H270," ")</f>
        <v> </v>
      </c>
      <c r="S270" s="2" t="str">
        <f aca="false">IF((E270="g"),H270," ")</f>
        <v> </v>
      </c>
      <c r="T270" s="2" t="str">
        <f aca="false">IF((E270="o"),H270," ")</f>
        <v> </v>
      </c>
      <c r="U270" s="2" t="str">
        <f aca="false">IF((E270="FS"),H270," ")</f>
        <v> </v>
      </c>
    </row>
    <row r="271" customFormat="false" ht="12" hidden="false" customHeight="false" outlineLevel="0" collapsed="false">
      <c r="E271" s="4" t="str">
        <f aca="false">IF((F271&lt;&gt;0),"Enter Letter"," ")</f>
        <v> </v>
      </c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  <c r="O271" s="2" t="str">
        <f aca="false">IF((E271="a"),H271," ")</f>
        <v> </v>
      </c>
      <c r="P271" s="2" t="str">
        <f aca="false">IF((E271="b"),H271," ")</f>
        <v> </v>
      </c>
      <c r="Q271" s="2" t="str">
        <f aca="false">IF((E271="c"),H271," ")</f>
        <v> </v>
      </c>
      <c r="R271" s="2" t="str">
        <f aca="false">IF((E271="d"),H271," ")</f>
        <v> </v>
      </c>
      <c r="S271" s="2" t="str">
        <f aca="false">IF((E271="g"),H271," ")</f>
        <v> </v>
      </c>
      <c r="T271" s="2" t="str">
        <f aca="false">IF((E271="o"),H271," ")</f>
        <v> </v>
      </c>
      <c r="U271" s="2" t="str">
        <f aca="false">IF((E271="FS"),H271," ")</f>
        <v> </v>
      </c>
    </row>
    <row r="272" customFormat="false" ht="12" hidden="false" customHeight="false" outlineLevel="0" collapsed="false">
      <c r="E272" s="4" t="str">
        <f aca="false">IF((F272&lt;&gt;0),"Enter Letter"," ")</f>
        <v> </v>
      </c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  <c r="O272" s="2" t="str">
        <f aca="false">IF((E272="a"),H272," ")</f>
        <v> </v>
      </c>
      <c r="P272" s="2" t="str">
        <f aca="false">IF((E272="b"),H272," ")</f>
        <v> </v>
      </c>
      <c r="Q272" s="2" t="str">
        <f aca="false">IF((E272="c"),H272," ")</f>
        <v> </v>
      </c>
      <c r="R272" s="2" t="str">
        <f aca="false">IF((E272="d"),H272," ")</f>
        <v> </v>
      </c>
      <c r="S272" s="2" t="str">
        <f aca="false">IF((E272="g"),H272," ")</f>
        <v> </v>
      </c>
      <c r="T272" s="2" t="str">
        <f aca="false">IF((E272="o"),H272," ")</f>
        <v> </v>
      </c>
      <c r="U272" s="2" t="str">
        <f aca="false">IF((E272="FS"),H272," ")</f>
        <v> </v>
      </c>
    </row>
    <row r="273" customFormat="false" ht="12" hidden="false" customHeight="false" outlineLevel="0" collapsed="false">
      <c r="E273" s="4" t="str">
        <f aca="false">IF((F273&lt;&gt;0),"Enter Letter"," ")</f>
        <v> </v>
      </c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  <c r="O273" s="2" t="str">
        <f aca="false">IF((E273="a"),H273," ")</f>
        <v> </v>
      </c>
      <c r="P273" s="2" t="str">
        <f aca="false">IF((E273="b"),H273," ")</f>
        <v> </v>
      </c>
      <c r="Q273" s="2" t="str">
        <f aca="false">IF((E273="c"),H273," ")</f>
        <v> </v>
      </c>
      <c r="R273" s="2" t="str">
        <f aca="false">IF((E273="d"),H273," ")</f>
        <v> </v>
      </c>
      <c r="S273" s="2" t="str">
        <f aca="false">IF((E273="g"),H273," ")</f>
        <v> </v>
      </c>
      <c r="T273" s="2" t="str">
        <f aca="false">IF((E273="o"),H273," ")</f>
        <v> </v>
      </c>
      <c r="U273" s="2" t="str">
        <f aca="false">IF((E273="FS"),H273," ")</f>
        <v> </v>
      </c>
    </row>
    <row r="274" customFormat="false" ht="12" hidden="false" customHeight="false" outlineLevel="0" collapsed="false">
      <c r="E274" s="4" t="str">
        <f aca="false">IF((F274&lt;&gt;0),"Enter Letter"," ")</f>
        <v> </v>
      </c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  <c r="O274" s="2" t="str">
        <f aca="false">IF((E274="a"),H274," ")</f>
        <v> </v>
      </c>
      <c r="P274" s="2" t="str">
        <f aca="false">IF((E274="b"),H274," ")</f>
        <v> </v>
      </c>
      <c r="Q274" s="2" t="str">
        <f aca="false">IF((E274="c"),H274," ")</f>
        <v> </v>
      </c>
      <c r="R274" s="2" t="str">
        <f aca="false">IF((E274="d"),H274," ")</f>
        <v> </v>
      </c>
      <c r="S274" s="2" t="str">
        <f aca="false">IF((E274="g"),H274," ")</f>
        <v> </v>
      </c>
      <c r="T274" s="2" t="str">
        <f aca="false">IF((E274="o"),H274," ")</f>
        <v> </v>
      </c>
      <c r="U274" s="2" t="str">
        <f aca="false">IF((E274="FS"),H274," ")</f>
        <v> </v>
      </c>
    </row>
    <row r="275" customFormat="false" ht="12" hidden="false" customHeight="false" outlineLevel="0" collapsed="false">
      <c r="E275" s="4" t="str">
        <f aca="false">IF((F275&lt;&gt;0),"Enter Letter"," ")</f>
        <v> </v>
      </c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  <c r="O275" s="2" t="str">
        <f aca="false">IF((E275="a"),H275," ")</f>
        <v> </v>
      </c>
      <c r="P275" s="2" t="str">
        <f aca="false">IF((E275="b"),H275," ")</f>
        <v> </v>
      </c>
      <c r="Q275" s="2" t="str">
        <f aca="false">IF((E275="c"),H275," ")</f>
        <v> </v>
      </c>
      <c r="R275" s="2" t="str">
        <f aca="false">IF((E275="d"),H275," ")</f>
        <v> </v>
      </c>
      <c r="S275" s="2" t="str">
        <f aca="false">IF((E275="g"),H275," ")</f>
        <v> </v>
      </c>
      <c r="T275" s="2" t="str">
        <f aca="false">IF((E275="o"),H275," ")</f>
        <v> </v>
      </c>
      <c r="U275" s="2" t="str">
        <f aca="false">IF((E275="FS"),H275," ")</f>
        <v> </v>
      </c>
    </row>
    <row r="276" customFormat="false" ht="12" hidden="false" customHeight="false" outlineLevel="0" collapsed="false">
      <c r="E276" s="4" t="str">
        <f aca="false">IF((F276&lt;&gt;0),"Enter Letter"," ")</f>
        <v> </v>
      </c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  <c r="O276" s="2" t="str">
        <f aca="false">IF((E276="a"),H276," ")</f>
        <v> </v>
      </c>
      <c r="P276" s="2" t="str">
        <f aca="false">IF((E276="b"),H276," ")</f>
        <v> </v>
      </c>
      <c r="Q276" s="2" t="str">
        <f aca="false">IF((E276="c"),H276," ")</f>
        <v> </v>
      </c>
      <c r="R276" s="2" t="str">
        <f aca="false">IF((E276="d"),H276," ")</f>
        <v> </v>
      </c>
      <c r="S276" s="2" t="str">
        <f aca="false">IF((E276="g"),H276," ")</f>
        <v> </v>
      </c>
      <c r="T276" s="2" t="str">
        <f aca="false">IF((E276="o"),H276," ")</f>
        <v> </v>
      </c>
      <c r="U276" s="2" t="str">
        <f aca="false">IF((E276="FS"),H276," ")</f>
        <v> </v>
      </c>
    </row>
    <row r="277" customFormat="false" ht="12" hidden="false" customHeight="false" outlineLevel="0" collapsed="false">
      <c r="E277" s="4" t="str">
        <f aca="false">IF((F277&lt;&gt;0),"Enter Letter"," ")</f>
        <v> </v>
      </c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  <c r="O277" s="2" t="str">
        <f aca="false">IF((E277="a"),H277," ")</f>
        <v> </v>
      </c>
      <c r="P277" s="2" t="str">
        <f aca="false">IF((E277="b"),H277," ")</f>
        <v> </v>
      </c>
      <c r="Q277" s="2" t="str">
        <f aca="false">IF((E277="c"),H277," ")</f>
        <v> </v>
      </c>
      <c r="R277" s="2" t="str">
        <f aca="false">IF((E277="d"),H277," ")</f>
        <v> </v>
      </c>
      <c r="S277" s="2" t="str">
        <f aca="false">IF((E277="g"),H277," ")</f>
        <v> </v>
      </c>
      <c r="T277" s="2" t="str">
        <f aca="false">IF((E277="o"),H277," ")</f>
        <v> </v>
      </c>
      <c r="U277" s="2" t="str">
        <f aca="false">IF((E277="FS"),H277," ")</f>
        <v> </v>
      </c>
    </row>
    <row r="278" customFormat="false" ht="12" hidden="false" customHeight="false" outlineLevel="0" collapsed="false">
      <c r="E278" s="4" t="str">
        <f aca="false">IF((F278&lt;&gt;0),"Enter Letter"," ")</f>
        <v> </v>
      </c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  <c r="O278" s="2" t="str">
        <f aca="false">IF((E278="a"),H278," ")</f>
        <v> </v>
      </c>
      <c r="P278" s="2" t="str">
        <f aca="false">IF((E278="b"),H278," ")</f>
        <v> </v>
      </c>
      <c r="Q278" s="2" t="str">
        <f aca="false">IF((E278="c"),H278," ")</f>
        <v> </v>
      </c>
      <c r="R278" s="2" t="str">
        <f aca="false">IF((E278="d"),H278," ")</f>
        <v> </v>
      </c>
      <c r="S278" s="2" t="str">
        <f aca="false">IF((E278="g"),H278," ")</f>
        <v> </v>
      </c>
      <c r="T278" s="2" t="str">
        <f aca="false">IF((E278="o"),H278," ")</f>
        <v> </v>
      </c>
      <c r="U278" s="2" t="str">
        <f aca="false">IF((E278="FS"),H278," ")</f>
        <v> </v>
      </c>
    </row>
    <row r="279" customFormat="false" ht="12" hidden="false" customHeight="false" outlineLevel="0" collapsed="false">
      <c r="E279" s="4" t="str">
        <f aca="false">IF((F279&lt;&gt;0),"Enter Letter"," ")</f>
        <v> </v>
      </c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  <c r="O279" s="2" t="str">
        <f aca="false">IF((E279="a"),H279," ")</f>
        <v> </v>
      </c>
      <c r="P279" s="2" t="str">
        <f aca="false">IF((E279="b"),H279," ")</f>
        <v> </v>
      </c>
      <c r="Q279" s="2" t="str">
        <f aca="false">IF((E279="c"),H279," ")</f>
        <v> </v>
      </c>
      <c r="R279" s="2" t="str">
        <f aca="false">IF((E279="d"),H279," ")</f>
        <v> </v>
      </c>
      <c r="S279" s="2" t="str">
        <f aca="false">IF((E279="g"),H279," ")</f>
        <v> </v>
      </c>
      <c r="T279" s="2" t="str">
        <f aca="false">IF((E279="o"),H279," ")</f>
        <v> </v>
      </c>
      <c r="U279" s="2" t="str">
        <f aca="false">IF((E279="FS"),H279," ")</f>
        <v> </v>
      </c>
    </row>
    <row r="280" customFormat="false" ht="12" hidden="false" customHeight="false" outlineLevel="0" collapsed="false">
      <c r="E280" s="4" t="str">
        <f aca="false">IF((F280&lt;&gt;0),"Enter Letter"," ")</f>
        <v> </v>
      </c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  <c r="O280" s="2" t="str">
        <f aca="false">IF((E280="a"),H280," ")</f>
        <v> </v>
      </c>
      <c r="P280" s="2" t="str">
        <f aca="false">IF((E280="b"),H280," ")</f>
        <v> </v>
      </c>
      <c r="Q280" s="2" t="str">
        <f aca="false">IF((E280="c"),H280," ")</f>
        <v> </v>
      </c>
      <c r="R280" s="2" t="str">
        <f aca="false">IF((E280="d"),H280," ")</f>
        <v> </v>
      </c>
      <c r="S280" s="2" t="str">
        <f aca="false">IF((E280="g"),H280," ")</f>
        <v> </v>
      </c>
      <c r="T280" s="2" t="str">
        <f aca="false">IF((E280="o"),H280," ")</f>
        <v> </v>
      </c>
      <c r="U280" s="2" t="str">
        <f aca="false">IF((E280="FS"),H280," ")</f>
        <v> </v>
      </c>
    </row>
    <row r="281" customFormat="false" ht="12" hidden="false" customHeight="false" outlineLevel="0" collapsed="false">
      <c r="E281" s="4" t="str">
        <f aca="false">IF((F281&lt;&gt;0),"Enter Letter"," ")</f>
        <v> </v>
      </c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  <c r="O281" s="2" t="str">
        <f aca="false">IF((E281="a"),H281," ")</f>
        <v> </v>
      </c>
      <c r="P281" s="2" t="str">
        <f aca="false">IF((E281="b"),H281," ")</f>
        <v> </v>
      </c>
      <c r="Q281" s="2" t="str">
        <f aca="false">IF((E281="c"),H281," ")</f>
        <v> </v>
      </c>
      <c r="R281" s="2" t="str">
        <f aca="false">IF((E281="d"),H281," ")</f>
        <v> </v>
      </c>
      <c r="S281" s="2" t="str">
        <f aca="false">IF((E281="g"),H281," ")</f>
        <v> </v>
      </c>
      <c r="T281" s="2" t="str">
        <f aca="false">IF((E281="o"),H281," ")</f>
        <v> </v>
      </c>
      <c r="U281" s="2" t="str">
        <f aca="false">IF((E281="FS"),H281," ")</f>
        <v> </v>
      </c>
    </row>
    <row r="282" customFormat="false" ht="12" hidden="false" customHeight="false" outlineLevel="0" collapsed="false">
      <c r="E282" s="4" t="str">
        <f aca="false">IF((F282&lt;&gt;0),"Enter Letter"," ")</f>
        <v> </v>
      </c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  <c r="O282" s="2" t="str">
        <f aca="false">IF((E282="a"),H282," ")</f>
        <v> </v>
      </c>
      <c r="P282" s="2" t="str">
        <f aca="false">IF((E282="b"),H282," ")</f>
        <v> </v>
      </c>
      <c r="Q282" s="2" t="str">
        <f aca="false">IF((E282="c"),H282," ")</f>
        <v> </v>
      </c>
      <c r="R282" s="2" t="str">
        <f aca="false">IF((E282="d"),H282," ")</f>
        <v> </v>
      </c>
      <c r="S282" s="2" t="str">
        <f aca="false">IF((E282="g"),H282," ")</f>
        <v> </v>
      </c>
      <c r="T282" s="2" t="str">
        <f aca="false">IF((E282="o"),H282," ")</f>
        <v> </v>
      </c>
      <c r="U282" s="2" t="str">
        <f aca="false">IF((E282="FS"),H282," ")</f>
        <v> </v>
      </c>
    </row>
    <row r="283" customFormat="false" ht="12" hidden="false" customHeight="false" outlineLevel="0" collapsed="false">
      <c r="E283" s="4" t="str">
        <f aca="false">IF((F283&lt;&gt;0),"Enter Letter"," ")</f>
        <v> </v>
      </c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  <c r="O283" s="2" t="str">
        <f aca="false">IF((E283="a"),H283," ")</f>
        <v> </v>
      </c>
      <c r="P283" s="2" t="str">
        <f aca="false">IF((E283="b"),H283," ")</f>
        <v> </v>
      </c>
      <c r="Q283" s="2" t="str">
        <f aca="false">IF((E283="c"),H283," ")</f>
        <v> </v>
      </c>
      <c r="R283" s="2" t="str">
        <f aca="false">IF((E283="d"),H283," ")</f>
        <v> </v>
      </c>
      <c r="S283" s="2" t="str">
        <f aca="false">IF((E283="g"),H283," ")</f>
        <v> </v>
      </c>
      <c r="T283" s="2" t="str">
        <f aca="false">IF((E283="o"),H283," ")</f>
        <v> </v>
      </c>
      <c r="U283" s="2" t="str">
        <f aca="false">IF((E283="FS"),H283," ")</f>
        <v> </v>
      </c>
    </row>
    <row r="284" customFormat="false" ht="12" hidden="false" customHeight="false" outlineLevel="0" collapsed="false">
      <c r="E284" s="4" t="str">
        <f aca="false">IF((F284&lt;&gt;0),"Enter Letter"," ")</f>
        <v> </v>
      </c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  <c r="O284" s="2" t="str">
        <f aca="false">IF((E284="a"),H284," ")</f>
        <v> </v>
      </c>
      <c r="P284" s="2" t="str">
        <f aca="false">IF((E284="b"),H284," ")</f>
        <v> </v>
      </c>
      <c r="Q284" s="2" t="str">
        <f aca="false">IF((E284="c"),H284," ")</f>
        <v> </v>
      </c>
      <c r="R284" s="2" t="str">
        <f aca="false">IF((E284="d"),H284," ")</f>
        <v> </v>
      </c>
      <c r="S284" s="2" t="str">
        <f aca="false">IF((E284="g"),H284," ")</f>
        <v> </v>
      </c>
      <c r="T284" s="2" t="str">
        <f aca="false">IF((E284="o"),H284," ")</f>
        <v> </v>
      </c>
      <c r="U284" s="2" t="str">
        <f aca="false">IF((E284="FS"),H284," ")</f>
        <v> </v>
      </c>
    </row>
    <row r="285" customFormat="false" ht="12" hidden="false" customHeight="false" outlineLevel="0" collapsed="false">
      <c r="E285" s="4" t="str">
        <f aca="false">IF((F285&lt;&gt;0),"Enter Letter"," ")</f>
        <v> </v>
      </c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  <c r="O285" s="2" t="str">
        <f aca="false">IF((E285="a"),H285," ")</f>
        <v> </v>
      </c>
      <c r="P285" s="2" t="str">
        <f aca="false">IF((E285="b"),H285," ")</f>
        <v> </v>
      </c>
      <c r="Q285" s="2" t="str">
        <f aca="false">IF((E285="c"),H285," ")</f>
        <v> </v>
      </c>
      <c r="R285" s="2" t="str">
        <f aca="false">IF((E285="d"),H285," ")</f>
        <v> </v>
      </c>
      <c r="S285" s="2" t="str">
        <f aca="false">IF((E285="g"),H285," ")</f>
        <v> </v>
      </c>
      <c r="T285" s="2" t="str">
        <f aca="false">IF((E285="o"),H285," ")</f>
        <v> </v>
      </c>
      <c r="U285" s="2" t="str">
        <f aca="false">IF((E285="FS"),H285," ")</f>
        <v> </v>
      </c>
    </row>
    <row r="286" customFormat="false" ht="12" hidden="false" customHeight="false" outlineLevel="0" collapsed="false">
      <c r="E286" s="4" t="str">
        <f aca="false">IF((F286&lt;&gt;0),"Enter Letter"," ")</f>
        <v> </v>
      </c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  <c r="O286" s="2" t="str">
        <f aca="false">IF((E286="a"),H286," ")</f>
        <v> </v>
      </c>
      <c r="P286" s="2" t="str">
        <f aca="false">IF((E286="b"),H286," ")</f>
        <v> </v>
      </c>
      <c r="Q286" s="2" t="str">
        <f aca="false">IF((E286="c"),H286," ")</f>
        <v> </v>
      </c>
      <c r="R286" s="2" t="str">
        <f aca="false">IF((E286="d"),H286," ")</f>
        <v> </v>
      </c>
      <c r="S286" s="2" t="str">
        <f aca="false">IF((E286="g"),H286," ")</f>
        <v> </v>
      </c>
      <c r="T286" s="2" t="str">
        <f aca="false">IF((E286="o"),H286," ")</f>
        <v> </v>
      </c>
      <c r="U286" s="2" t="str">
        <f aca="false">IF((E286="FS"),H286," ")</f>
        <v> </v>
      </c>
    </row>
    <row r="287" customFormat="false" ht="12" hidden="false" customHeight="false" outlineLevel="0" collapsed="false">
      <c r="E287" s="4" t="str">
        <f aca="false">IF((F287&lt;&gt;0),"Enter Letter"," ")</f>
        <v> </v>
      </c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  <c r="O287" s="2" t="str">
        <f aca="false">IF((E287="a"),H287," ")</f>
        <v> </v>
      </c>
      <c r="P287" s="2" t="str">
        <f aca="false">IF((E287="b"),H287," ")</f>
        <v> </v>
      </c>
      <c r="Q287" s="2" t="str">
        <f aca="false">IF((E287="c"),H287," ")</f>
        <v> </v>
      </c>
      <c r="R287" s="2" t="str">
        <f aca="false">IF((E287="d"),H287," ")</f>
        <v> </v>
      </c>
      <c r="S287" s="2" t="str">
        <f aca="false">IF((E287="g"),H287," ")</f>
        <v> </v>
      </c>
      <c r="T287" s="2" t="str">
        <f aca="false">IF((E287="o"),H287," ")</f>
        <v> </v>
      </c>
      <c r="U287" s="2" t="str">
        <f aca="false">IF((E287="FS"),H287," ")</f>
        <v> </v>
      </c>
    </row>
    <row r="288" customFormat="false" ht="12" hidden="false" customHeight="false" outlineLevel="0" collapsed="false">
      <c r="E288" s="4" t="str">
        <f aca="false">IF((F288&lt;&gt;0),"Enter Letter"," ")</f>
        <v> </v>
      </c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  <c r="O288" s="2" t="str">
        <f aca="false">IF((E288="a"),H288," ")</f>
        <v> </v>
      </c>
      <c r="P288" s="2" t="str">
        <f aca="false">IF((E288="b"),H288," ")</f>
        <v> </v>
      </c>
      <c r="Q288" s="2" t="str">
        <f aca="false">IF((E288="c"),H288," ")</f>
        <v> </v>
      </c>
      <c r="R288" s="2" t="str">
        <f aca="false">IF((E288="d"),H288," ")</f>
        <v> </v>
      </c>
      <c r="S288" s="2" t="str">
        <f aca="false">IF((E288="g"),H288," ")</f>
        <v> </v>
      </c>
      <c r="T288" s="2" t="str">
        <f aca="false">IF((E288="o"),H288," ")</f>
        <v> </v>
      </c>
      <c r="U288" s="2" t="str">
        <f aca="false">IF((E288="FS"),H288," ")</f>
        <v> </v>
      </c>
    </row>
    <row r="289" customFormat="false" ht="12" hidden="false" customHeight="false" outlineLevel="0" collapsed="false">
      <c r="E289" s="4" t="str">
        <f aca="false">IF((F289&lt;&gt;0),"Enter Letter"," ")</f>
        <v> </v>
      </c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  <c r="O289" s="2" t="str">
        <f aca="false">IF((E289="a"),H289," ")</f>
        <v> </v>
      </c>
      <c r="P289" s="2" t="str">
        <f aca="false">IF((E289="b"),H289," ")</f>
        <v> </v>
      </c>
      <c r="Q289" s="2" t="str">
        <f aca="false">IF((E289="c"),H289," ")</f>
        <v> </v>
      </c>
      <c r="R289" s="2" t="str">
        <f aca="false">IF((E289="d"),H289," ")</f>
        <v> </v>
      </c>
      <c r="S289" s="2" t="str">
        <f aca="false">IF((E289="g"),H289," ")</f>
        <v> </v>
      </c>
      <c r="T289" s="2" t="str">
        <f aca="false">IF((E289="o"),H289," ")</f>
        <v> </v>
      </c>
      <c r="U289" s="2" t="str">
        <f aca="false">IF((E289="FS"),H289," ")</f>
        <v> </v>
      </c>
    </row>
    <row r="290" customFormat="false" ht="12" hidden="false" customHeight="false" outlineLevel="0" collapsed="false">
      <c r="E290" s="4" t="str">
        <f aca="false">IF((F290&lt;&gt;0),"Enter Letter"," ")</f>
        <v> </v>
      </c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  <c r="O290" s="2" t="str">
        <f aca="false">IF((E290="a"),H290," ")</f>
        <v> </v>
      </c>
      <c r="P290" s="2" t="str">
        <f aca="false">IF((E290="b"),H290," ")</f>
        <v> </v>
      </c>
      <c r="Q290" s="2" t="str">
        <f aca="false">IF((E290="c"),H290," ")</f>
        <v> </v>
      </c>
      <c r="R290" s="2" t="str">
        <f aca="false">IF((E290="d"),H290," ")</f>
        <v> </v>
      </c>
      <c r="S290" s="2" t="str">
        <f aca="false">IF((E290="g"),H290," ")</f>
        <v> </v>
      </c>
      <c r="T290" s="2" t="str">
        <f aca="false">IF((E290="o"),H290," ")</f>
        <v> </v>
      </c>
      <c r="U290" s="2" t="str">
        <f aca="false">IF((E290="FS"),H290," ")</f>
        <v> </v>
      </c>
    </row>
    <row r="291" customFormat="false" ht="12" hidden="false" customHeight="false" outlineLevel="0" collapsed="false">
      <c r="E291" s="4" t="str">
        <f aca="false">IF((F291&lt;&gt;0),"Enter Letter"," ")</f>
        <v> </v>
      </c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  <c r="O291" s="2" t="str">
        <f aca="false">IF((E291="a"),H291," ")</f>
        <v> </v>
      </c>
      <c r="P291" s="2" t="str">
        <f aca="false">IF((E291="b"),H291," ")</f>
        <v> </v>
      </c>
      <c r="Q291" s="2" t="str">
        <f aca="false">IF((E291="c"),H291," ")</f>
        <v> </v>
      </c>
      <c r="R291" s="2" t="str">
        <f aca="false">IF((E291="d"),H291," ")</f>
        <v> </v>
      </c>
      <c r="S291" s="2" t="str">
        <f aca="false">IF((E291="g"),H291," ")</f>
        <v> </v>
      </c>
      <c r="T291" s="2" t="str">
        <f aca="false">IF((E291="o"),H291," ")</f>
        <v> </v>
      </c>
      <c r="U291" s="2" t="str">
        <f aca="false">IF((E291="FS"),H291," ")</f>
        <v> </v>
      </c>
    </row>
    <row r="292" customFormat="false" ht="12" hidden="false" customHeight="false" outlineLevel="0" collapsed="false">
      <c r="E292" s="4" t="str">
        <f aca="false">IF((F292&lt;&gt;0),"Enter Letter"," ")</f>
        <v> </v>
      </c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  <c r="O292" s="2" t="str">
        <f aca="false">IF((E292="a"),H292," ")</f>
        <v> </v>
      </c>
      <c r="P292" s="2" t="str">
        <f aca="false">IF((E292="b"),H292," ")</f>
        <v> </v>
      </c>
      <c r="Q292" s="2" t="str">
        <f aca="false">IF((E292="c"),H292," ")</f>
        <v> </v>
      </c>
      <c r="R292" s="2" t="str">
        <f aca="false">IF((E292="d"),H292," ")</f>
        <v> </v>
      </c>
      <c r="S292" s="2" t="str">
        <f aca="false">IF((E292="g"),H292," ")</f>
        <v> </v>
      </c>
      <c r="T292" s="2" t="str">
        <f aca="false">IF((E292="o"),H292," ")</f>
        <v> </v>
      </c>
      <c r="U292" s="2" t="str">
        <f aca="false">IF((E292="FS"),H292," ")</f>
        <v> </v>
      </c>
    </row>
    <row r="293" customFormat="false" ht="12" hidden="false" customHeight="false" outlineLevel="0" collapsed="false">
      <c r="E293" s="4" t="str">
        <f aca="false">IF((F293&lt;&gt;0),"Enter Letter"," ")</f>
        <v> </v>
      </c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  <c r="O293" s="2" t="str">
        <f aca="false">IF((E293="a"),H293," ")</f>
        <v> </v>
      </c>
      <c r="P293" s="2" t="str">
        <f aca="false">IF((E293="b"),H293," ")</f>
        <v> </v>
      </c>
      <c r="Q293" s="2" t="str">
        <f aca="false">IF((E293="c"),H293," ")</f>
        <v> </v>
      </c>
      <c r="R293" s="2" t="str">
        <f aca="false">IF((E293="d"),H293," ")</f>
        <v> </v>
      </c>
      <c r="S293" s="2" t="str">
        <f aca="false">IF((E293="g"),H293," ")</f>
        <v> </v>
      </c>
      <c r="T293" s="2" t="str">
        <f aca="false">IF((E293="o"),H293," ")</f>
        <v> </v>
      </c>
      <c r="U293" s="2" t="str">
        <f aca="false">IF((E293="FS"),H293," ")</f>
        <v> </v>
      </c>
    </row>
    <row r="294" customFormat="false" ht="12" hidden="false" customHeight="false" outlineLevel="0" collapsed="false">
      <c r="E294" s="4" t="str">
        <f aca="false">IF((F294&lt;&gt;0),"Enter Letter"," ")</f>
        <v> </v>
      </c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  <c r="O294" s="2" t="str">
        <f aca="false">IF((E294="a"),H294," ")</f>
        <v> </v>
      </c>
      <c r="P294" s="2" t="str">
        <f aca="false">IF((E294="b"),H294," ")</f>
        <v> </v>
      </c>
      <c r="Q294" s="2" t="str">
        <f aca="false">IF((E294="c"),H294," ")</f>
        <v> </v>
      </c>
      <c r="R294" s="2" t="str">
        <f aca="false">IF((E294="d"),H294," ")</f>
        <v> </v>
      </c>
      <c r="S294" s="2" t="str">
        <f aca="false">IF((E294="g"),H294," ")</f>
        <v> </v>
      </c>
      <c r="T294" s="2" t="str">
        <f aca="false">IF((E294="o"),H294," ")</f>
        <v> </v>
      </c>
      <c r="U294" s="2" t="str">
        <f aca="false">IF((E294="FS"),H294," ")</f>
        <v> </v>
      </c>
    </row>
    <row r="295" customFormat="false" ht="12" hidden="false" customHeight="false" outlineLevel="0" collapsed="false">
      <c r="E295" s="4" t="str">
        <f aca="false">IF((F295&lt;&gt;0),"Enter Letter"," ")</f>
        <v> </v>
      </c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  <c r="O295" s="2" t="str">
        <f aca="false">IF((E295="a"),H295," ")</f>
        <v> </v>
      </c>
      <c r="P295" s="2" t="str">
        <f aca="false">IF((E295="b"),H295," ")</f>
        <v> </v>
      </c>
      <c r="Q295" s="2" t="str">
        <f aca="false">IF((E295="c"),H295," ")</f>
        <v> </v>
      </c>
      <c r="R295" s="2" t="str">
        <f aca="false">IF((E295="d"),H295," ")</f>
        <v> </v>
      </c>
      <c r="S295" s="2" t="str">
        <f aca="false">IF((E295="g"),H295," ")</f>
        <v> </v>
      </c>
      <c r="T295" s="2" t="str">
        <f aca="false">IF((E295="o"),H295," ")</f>
        <v> </v>
      </c>
      <c r="U295" s="2" t="str">
        <f aca="false">IF((E295="FS"),H295," ")</f>
        <v> </v>
      </c>
    </row>
    <row r="296" customFormat="false" ht="12" hidden="false" customHeight="false" outlineLevel="0" collapsed="false">
      <c r="E296" s="4" t="str">
        <f aca="false">IF((F296&lt;&gt;0),"Enter Letter"," ")</f>
        <v> </v>
      </c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  <c r="O296" s="2" t="str">
        <f aca="false">IF((E296="a"),H296," ")</f>
        <v> </v>
      </c>
      <c r="P296" s="2" t="str">
        <f aca="false">IF((E296="b"),H296," ")</f>
        <v> </v>
      </c>
      <c r="Q296" s="2" t="str">
        <f aca="false">IF((E296="c"),H296," ")</f>
        <v> </v>
      </c>
      <c r="R296" s="2" t="str">
        <f aca="false">IF((E296="d"),H296," ")</f>
        <v> </v>
      </c>
      <c r="S296" s="2" t="str">
        <f aca="false">IF((E296="g"),H296," ")</f>
        <v> </v>
      </c>
      <c r="T296" s="2" t="str">
        <f aca="false">IF((E296="o"),H296," ")</f>
        <v> </v>
      </c>
      <c r="U296" s="2" t="str">
        <f aca="false">IF((E296="FS"),H296," ")</f>
        <v> </v>
      </c>
    </row>
    <row r="297" customFormat="false" ht="12" hidden="false" customHeight="false" outlineLevel="0" collapsed="false">
      <c r="E297" s="4" t="str">
        <f aca="false">IF((F297&lt;&gt;0),"Enter Letter"," ")</f>
        <v> </v>
      </c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  <c r="O297" s="2" t="str">
        <f aca="false">IF((E297="a"),H297," ")</f>
        <v> </v>
      </c>
      <c r="P297" s="2" t="str">
        <f aca="false">IF((E297="b"),H297," ")</f>
        <v> </v>
      </c>
      <c r="Q297" s="2" t="str">
        <f aca="false">IF((E297="c"),H297," ")</f>
        <v> </v>
      </c>
      <c r="R297" s="2" t="str">
        <f aca="false">IF((E297="d"),H297," ")</f>
        <v> </v>
      </c>
      <c r="S297" s="2" t="str">
        <f aca="false">IF((E297="g"),H297," ")</f>
        <v> </v>
      </c>
      <c r="T297" s="2" t="str">
        <f aca="false">IF((E297="o"),H297," ")</f>
        <v> </v>
      </c>
      <c r="U297" s="2" t="str">
        <f aca="false">IF((E297="FS"),H297," ")</f>
        <v> </v>
      </c>
    </row>
    <row r="298" customFormat="false" ht="12" hidden="false" customHeight="false" outlineLevel="0" collapsed="false">
      <c r="E298" s="4" t="str">
        <f aca="false">IF((F298&lt;&gt;0),"Enter Letter"," ")</f>
        <v> </v>
      </c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  <c r="O298" s="2" t="str">
        <f aca="false">IF((E298="a"),H298," ")</f>
        <v> </v>
      </c>
      <c r="P298" s="2" t="str">
        <f aca="false">IF((E298="b"),H298," ")</f>
        <v> </v>
      </c>
      <c r="Q298" s="2" t="str">
        <f aca="false">IF((E298="c"),H298," ")</f>
        <v> </v>
      </c>
      <c r="R298" s="2" t="str">
        <f aca="false">IF((E298="d"),H298," ")</f>
        <v> </v>
      </c>
      <c r="S298" s="2" t="str">
        <f aca="false">IF((E298="g"),H298," ")</f>
        <v> </v>
      </c>
      <c r="T298" s="2" t="str">
        <f aca="false">IF((E298="o"),H298," ")</f>
        <v> </v>
      </c>
      <c r="U298" s="2" t="str">
        <f aca="false">IF((E298="FS"),H298," ")</f>
        <v> </v>
      </c>
    </row>
    <row r="299" customFormat="false" ht="12" hidden="false" customHeight="false" outlineLevel="0" collapsed="false">
      <c r="E299" s="4" t="str">
        <f aca="false">IF((F299&lt;&gt;0),"Enter Letter"," ")</f>
        <v> </v>
      </c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  <c r="O299" s="2" t="str">
        <f aca="false">IF((E299="a"),H299," ")</f>
        <v> </v>
      </c>
      <c r="P299" s="2" t="str">
        <f aca="false">IF((E299="b"),H299," ")</f>
        <v> </v>
      </c>
      <c r="Q299" s="2" t="str">
        <f aca="false">IF((E299="c"),H299," ")</f>
        <v> </v>
      </c>
      <c r="R299" s="2" t="str">
        <f aca="false">IF((E299="d"),H299," ")</f>
        <v> </v>
      </c>
      <c r="S299" s="2" t="str">
        <f aca="false">IF((E299="g"),H299," ")</f>
        <v> </v>
      </c>
      <c r="T299" s="2" t="str">
        <f aca="false">IF((E299="o"),H299," ")</f>
        <v> </v>
      </c>
      <c r="U299" s="2" t="str">
        <f aca="false">IF((E299="FS"),H299," ")</f>
        <v> </v>
      </c>
    </row>
    <row r="300" customFormat="false" ht="12" hidden="false" customHeight="false" outlineLevel="0" collapsed="false">
      <c r="A300" s="32"/>
      <c r="B300" s="33"/>
      <c r="C300" s="34"/>
      <c r="D300" s="45"/>
      <c r="E300" s="35" t="str">
        <f aca="false">IF((F300&lt;&gt;0),"Enter Letter"," ")</f>
        <v> </v>
      </c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 t="str">
        <f aca="false">IF((E300="a"),H300," ")</f>
        <v> </v>
      </c>
      <c r="P300" s="33" t="str">
        <f aca="false">IF((E300="b"),H300," ")</f>
        <v> </v>
      </c>
      <c r="Q300" s="33" t="str">
        <f aca="false">IF((E300="c"),H300," ")</f>
        <v> </v>
      </c>
      <c r="R300" s="33" t="str">
        <f aca="false">IF((E300="d"),H300," ")</f>
        <v> </v>
      </c>
      <c r="S300" s="33" t="str">
        <f aca="false">IF((E300="g"),H300," ")</f>
        <v> </v>
      </c>
      <c r="T300" s="33" t="str">
        <f aca="false">IF((E300="o"),H300," ")</f>
        <v> </v>
      </c>
      <c r="U300" s="33" t="str">
        <f aca="false">IF((E300="FS"),H300," ")</f>
        <v> </v>
      </c>
      <c r="V300" s="33"/>
      <c r="W300" s="33"/>
    </row>
  </sheetData>
  <mergeCells count="22">
    <mergeCell ref="C1:C4"/>
    <mergeCell ref="D1:E1"/>
    <mergeCell ref="I1:I4"/>
    <mergeCell ref="J1:J4"/>
    <mergeCell ref="N1:N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T3"/>
    <mergeCell ref="V2:W2"/>
    <mergeCell ref="K3:K4"/>
    <mergeCell ref="L3:L4"/>
    <mergeCell ref="M3:M4"/>
    <mergeCell ref="V3:V4"/>
    <mergeCell ref="W3:W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U does not add up to total in column H&#10;&#10;CHECK ENTRY CODE LETTERS or ANY MANUAL ENTRIES IN COL G to H and COL O to U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$O$4:$U$4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15.32"/>
    <col collapsed="false" customWidth="true" hidden="false" outlineLevel="0" max="5" min="5" style="4" width="9.66"/>
    <col collapsed="false" customWidth="true" hidden="false" outlineLevel="0" max="6" min="6" style="2" width="9.66"/>
    <col collapsed="false" customWidth="true" hidden="false" outlineLevel="0" max="7" min="7" style="2" width="8.66"/>
    <col collapsed="false" customWidth="true" hidden="false" outlineLevel="0" max="8" min="8" style="2" width="9.66"/>
    <col collapsed="false" customWidth="true" hidden="false" outlineLevel="0" max="9" min="9" style="2" width="0.82"/>
    <col collapsed="false" customWidth="true" hidden="false" outlineLevel="0" max="10" min="10" style="5" width="9.66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66"/>
    <col collapsed="false" customWidth="true" hidden="false" outlineLevel="0" max="14" min="14" style="2" width="0.82"/>
    <col collapsed="false" customWidth="false" hidden="false" outlineLevel="0" max="257" min="15" style="2" width="9.15"/>
  </cols>
  <sheetData>
    <row r="1" s="19" customFormat="true" ht="13.5" hidden="false" customHeight="true" outlineLevel="0" collapsed="false">
      <c r="A1" s="9" t="s">
        <v>210</v>
      </c>
      <c r="B1" s="9"/>
      <c r="C1" s="10" t="n">
        <f aca="false">IF([1]TrialBalance!$EJ$20&gt;0,[1]TrialBalance!$EJ$20,0)</f>
        <v>7900</v>
      </c>
      <c r="D1" s="11" t="s">
        <v>1</v>
      </c>
      <c r="E1" s="11"/>
      <c r="F1" s="12" t="n">
        <f aca="false">SUM(F5:F300)</f>
        <v>0</v>
      </c>
      <c r="G1" s="12" t="n">
        <f aca="false">SUM(G5:G300)</f>
        <v>0</v>
      </c>
      <c r="H1" s="12" t="n">
        <f aca="false">SUM(H5:H300)</f>
        <v>7900</v>
      </c>
      <c r="I1" s="13"/>
      <c r="J1" s="14" t="s">
        <v>2</v>
      </c>
      <c r="K1" s="15" t="n">
        <f aca="false">SUM(K5:K300)</f>
        <v>0</v>
      </c>
      <c r="L1" s="16" t="n">
        <f aca="false">SUM(L5:L300)</f>
        <v>0</v>
      </c>
      <c r="M1" s="17" t="n">
        <f aca="true">TODAY()</f>
        <v>46278</v>
      </c>
      <c r="N1" s="18"/>
      <c r="O1" s="12" t="n">
        <f aca="false">SUM(O5:O300)</f>
        <v>0</v>
      </c>
      <c r="P1" s="12"/>
    </row>
    <row r="2" s="19" customFormat="true" ht="12.75" hidden="false" customHeight="true" outlineLevel="0" collapsed="false">
      <c r="A2" s="20" t="s">
        <v>3</v>
      </c>
      <c r="B2" s="21" t="s">
        <v>4</v>
      </c>
      <c r="C2" s="22" t="s">
        <v>5</v>
      </c>
      <c r="D2" s="23" t="s">
        <v>6</v>
      </c>
      <c r="E2" s="24"/>
      <c r="F2" s="21" t="s">
        <v>7</v>
      </c>
      <c r="G2" s="25" t="n">
        <f aca="false">Oct!G2</f>
        <v>20</v>
      </c>
      <c r="H2" s="21" t="s">
        <v>8</v>
      </c>
      <c r="I2" s="13"/>
      <c r="J2" s="14"/>
      <c r="K2" s="26" t="s">
        <v>9</v>
      </c>
      <c r="L2" s="26"/>
      <c r="M2" s="26"/>
      <c r="N2" s="18"/>
      <c r="O2" s="21" t="s">
        <v>10</v>
      </c>
      <c r="P2" s="21"/>
    </row>
    <row r="3" s="30" customFormat="true" ht="34.5" hidden="false" customHeight="true" outlineLevel="0" collapsed="false">
      <c r="A3" s="20"/>
      <c r="B3" s="21"/>
      <c r="C3" s="22"/>
      <c r="D3" s="23"/>
      <c r="E3" s="24"/>
      <c r="F3" s="21"/>
      <c r="G3" s="21" t="s">
        <v>11</v>
      </c>
      <c r="H3" s="21"/>
      <c r="I3" s="13"/>
      <c r="J3" s="14"/>
      <c r="K3" s="27" t="s">
        <v>12</v>
      </c>
      <c r="L3" s="28" t="s">
        <v>13</v>
      </c>
      <c r="M3" s="29" t="s">
        <v>14</v>
      </c>
      <c r="N3" s="18"/>
      <c r="O3" s="21" t="s">
        <v>15</v>
      </c>
      <c r="P3" s="21" t="s">
        <v>16</v>
      </c>
    </row>
    <row r="4" customFormat="false" ht="12.75" hidden="false" customHeight="true" outlineLevel="0" collapsed="false">
      <c r="A4" s="20"/>
      <c r="B4" s="20"/>
      <c r="C4" s="20"/>
      <c r="D4" s="23"/>
      <c r="E4" s="23"/>
      <c r="F4" s="21"/>
      <c r="G4" s="31" t="n">
        <f aca="false">Oct!G4</f>
        <v>0</v>
      </c>
      <c r="H4" s="21"/>
      <c r="I4" s="13"/>
      <c r="J4" s="14"/>
      <c r="K4" s="27"/>
      <c r="L4" s="28"/>
      <c r="M4" s="28"/>
      <c r="N4" s="18"/>
      <c r="O4" s="21"/>
      <c r="P4" s="21"/>
    </row>
    <row r="5" customFormat="false" ht="12.75" hidden="false" customHeight="true" outlineLevel="0" collapsed="false">
      <c r="B5" s="2" t="s">
        <v>17</v>
      </c>
      <c r="C5" s="3" t="s">
        <v>202</v>
      </c>
      <c r="G5" s="2" t="str">
        <f aca="false">IF(G$4&gt;0,(IF(F5&lt;&gt;0,F5*G$4/100," ")),IF(F5&lt;&gt;0,F5*G$2/(100+G$2)," "))</f>
        <v> </v>
      </c>
      <c r="H5" s="2" t="n">
        <v>6100</v>
      </c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.75" hidden="false" customHeight="true" outlineLevel="0" collapsed="false">
      <c r="B6" s="2" t="s">
        <v>99</v>
      </c>
      <c r="C6" s="3" t="s">
        <v>204</v>
      </c>
      <c r="G6" s="2" t="str">
        <f aca="false">IF(G$4&gt;0,(IF(F6&lt;&gt;0,F6*G$4/100," ")),IF(F6&lt;&gt;0,F6*G$2/(100+G$2)," "))</f>
        <v> </v>
      </c>
      <c r="H6" s="2" t="n">
        <v>1440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B7" s="2" t="s">
        <v>205</v>
      </c>
      <c r="C7" s="3" t="s">
        <v>206</v>
      </c>
      <c r="G7" s="2" t="str">
        <f aca="false">IF(G$4&gt;0,(IF(F7&lt;&gt;0,F7*G$4/100," ")),IF(F7&lt;&gt;0,F7*G$2/(100+G$2)," "))</f>
        <v> </v>
      </c>
      <c r="H7" s="2" t="n">
        <v>360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G8" s="2" t="str">
        <f aca="false">IF(G$4&gt;0,(IF(F8&lt;&gt;0,F8*G$4/100," ")),IF(F8&lt;&gt;0,F8*G$2/(100+G$2)," "))</f>
        <v> 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G9" s="2" t="str">
        <f aca="false">IF(G$4&gt;0,(IF(F9&lt;&gt;0,F9*G$4/100," ")),IF(F9&lt;&gt;0,F9*G$2/(100+G$2)," "))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G10" s="2" t="str">
        <f aca="false">IF(G$4&gt;0,(IF(F10&lt;&gt;0,F10*G$4/100," ")),IF(F10&lt;&gt;0,F10*G$2/(100+G$2)," "))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G11" s="2" t="str">
        <f aca="false">IF(G$4&gt;0,(IF(F11&lt;&gt;0,F11*G$4/100," ")),IF(F11&lt;&gt;0,F11*G$2/(100+G$2)," "))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G12" s="2" t="str">
        <f aca="false">IF(G$4&gt;0,(IF(F12&lt;&gt;0,F12*G$4/100," ")),IF(F12&lt;&gt;0,F12*G$2/(100+G$2)," "))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G13" s="2" t="str">
        <f aca="false">IF(G$4&gt;0,(IF(F13&lt;&gt;0,F13*G$4/100," ")),IF(F13&lt;&gt;0,F13*G$2/(100+G$2)," "))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G14" s="2" t="str">
        <f aca="false">IF(G$4&gt;0,(IF(F14&lt;&gt;0,F14*G$4/100," ")),IF(F14&lt;&gt;0,F14*G$2/(100+G$2)," "))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G15" s="2" t="str">
        <f aca="false">IF(G$4&gt;0,(IF(F15&lt;&gt;0,F15*G$4/100," ")),IF(F15&lt;&gt;0,F15*G$2/(100+G$2)," "))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G16" s="2" t="str">
        <f aca="false">IF(G$4&gt;0,(IF(F16&lt;&gt;0,F16*G$4/100," ")),IF(F16&lt;&gt;0,F16*G$2/(100+G$2)," "))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G17" s="2" t="str">
        <f aca="false">IF(G$4&gt;0,(IF(F17&lt;&gt;0,F17*G$4/100," ")),IF(F17&lt;&gt;0,F17*G$2/(100+G$2)," "))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G18" s="2" t="str">
        <f aca="false">IF(G$4&gt;0,(IF(F18&lt;&gt;0,F18*G$4/100," ")),IF(F18&lt;&gt;0,F18*G$2/(100+G$2)," "))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G19" s="2" t="str">
        <f aca="false">IF(G$4&gt;0,(IF(F19&lt;&gt;0,F19*G$4/100," ")),IF(F19&lt;&gt;0,F19*G$2/(100+G$2)," "))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G20" s="2" t="str">
        <f aca="false">IF(G$4&gt;0,(IF(F20&lt;&gt;0,F20*G$4/100," ")),IF(F20&lt;&gt;0,F20*G$2/(100+G$2)," "))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G21" s="2" t="str">
        <f aca="false">IF(G$4&gt;0,(IF(F21&lt;&gt;0,F21*G$4/100," ")),IF(F21&lt;&gt;0,F21*G$2/(100+G$2)," "))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G22" s="2" t="str">
        <f aca="false">IF(G$4&gt;0,(IF(F22&lt;&gt;0,F22*G$4/100," ")),IF(F22&lt;&gt;0,F22*G$2/(100+G$2)," "))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G23" s="2" t="str">
        <f aca="false">IF(G$4&gt;0,(IF(F23&lt;&gt;0,F23*G$4/100," ")),IF(F23&lt;&gt;0,F23*G$2/(100+G$2)," "))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G24" s="2" t="str">
        <f aca="false">IF(G$4&gt;0,(IF(F24&lt;&gt;0,F24*G$4/100," ")),IF(F24&lt;&gt;0,F24*G$2/(100+G$2)," "))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G25" s="2" t="str">
        <f aca="false">IF(G$4&gt;0,(IF(F25&lt;&gt;0,F25*G$4/100," ")),IF(F25&lt;&gt;0,F25*G$2/(100+G$2)," "))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G26" s="2" t="str">
        <f aca="false">IF(G$4&gt;0,(IF(F26&lt;&gt;0,F26*G$4/100," ")),IF(F26&lt;&gt;0,F26*G$2/(100+G$2)," "))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G27" s="2" t="str">
        <f aca="false">IF(G$4&gt;0,(IF(F27&lt;&gt;0,F27*G$4/100," ")),IF(F27&lt;&gt;0,F27*G$2/(100+G$2)," "))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G28" s="2" t="str">
        <f aca="false">IF(G$4&gt;0,(IF(F28&lt;&gt;0,F28*G$4/100," ")),IF(F28&lt;&gt;0,F28*G$2/(100+G$2)," "))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G29" s="2" t="str">
        <f aca="false">IF(G$4&gt;0,(IF(F29&lt;&gt;0,F29*G$4/100," ")),IF(F29&lt;&gt;0,F29*G$2/(100+G$2)," "))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G30" s="2" t="str">
        <f aca="false">IF(G$4&gt;0,(IF(F30&lt;&gt;0,F30*G$4/100," ")),IF(F30&lt;&gt;0,F30*G$2/(100+G$2)," "))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G31" s="2" t="str">
        <f aca="false">IF(G$4&gt;0,(IF(F31&lt;&gt;0,F31*G$4/100," ")),IF(F31&lt;&gt;0,F31*G$2/(100+G$2)," "))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G32" s="2" t="str">
        <f aca="false">IF(G$4&gt;0,(IF(F32&lt;&gt;0,F32*G$4/100," ")),IF(F32&lt;&gt;0,F32*G$2/(100+G$2)," "))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G33" s="2" t="str">
        <f aca="false">IF(G$4&gt;0,(IF(F33&lt;&gt;0,F33*G$4/100," ")),IF(F33&lt;&gt;0,F33*G$2/(100+G$2)," "))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G34" s="2" t="str">
        <f aca="false">IF(G$4&gt;0,(IF(F34&lt;&gt;0,F34*G$4/100," ")),IF(F34&lt;&gt;0,F34*G$2/(100+G$2)," "))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G35" s="2" t="str">
        <f aca="false">IF(G$4&gt;0,(IF(F35&lt;&gt;0,F35*G$4/100," ")),IF(F35&lt;&gt;0,F35*G$2/(100+G$2)," "))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G36" s="2" t="str">
        <f aca="false">IF(G$4&gt;0,(IF(F36&lt;&gt;0,F36*G$4/100," ")),IF(F36&lt;&gt;0,F36*G$2/(100+G$2)," "))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G37" s="2" t="str">
        <f aca="false">IF(G$4&gt;0,(IF(F37&lt;&gt;0,F37*G$4/100," ")),IF(F37&lt;&gt;0,F37*G$2/(100+G$2)," "))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G38" s="2" t="str">
        <f aca="false">IF(G$4&gt;0,(IF(F38&lt;&gt;0,F38*G$4/100," ")),IF(F38&lt;&gt;0,F38*G$2/(100+G$2)," "))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G39" s="2" t="str">
        <f aca="false">IF(G$4&gt;0,(IF(F39&lt;&gt;0,F39*G$4/100," ")),IF(F39&lt;&gt;0,F39*G$2/(100+G$2)," "))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G40" s="2" t="str">
        <f aca="false">IF(G$4&gt;0,(IF(F40&lt;&gt;0,F40*G$4/100," ")),IF(F40&lt;&gt;0,F40*G$2/(100+G$2)," "))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G41" s="2" t="str">
        <f aca="false">IF(G$4&gt;0,(IF(F41&lt;&gt;0,F41*G$4/100," ")),IF(F41&lt;&gt;0,F41*G$2/(100+G$2)," "))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G42" s="2" t="str">
        <f aca="false">IF(G$4&gt;0,(IF(F42&lt;&gt;0,F42*G$4/100," ")),IF(F42&lt;&gt;0,F42*G$2/(100+G$2)," "))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G43" s="2" t="str">
        <f aca="false">IF(G$4&gt;0,(IF(F43&lt;&gt;0,F43*G$4/100," ")),IF(F43&lt;&gt;0,F43*G$2/(100+G$2)," "))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G44" s="2" t="str">
        <f aca="false">IF(G$4&gt;0,(IF(F44&lt;&gt;0,F44*G$4/100," ")),IF(F44&lt;&gt;0,F44*G$2/(100+G$2)," "))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G45" s="2" t="str">
        <f aca="false">IF(G$4&gt;0,(IF(F45&lt;&gt;0,F45*G$4/100," ")),IF(F45&lt;&gt;0,F45*G$2/(100+G$2)," "))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G46" s="2" t="str">
        <f aca="false">IF(G$4&gt;0,(IF(F46&lt;&gt;0,F46*G$4/100," ")),IF(F46&lt;&gt;0,F46*G$2/(100+G$2)," "))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G47" s="2" t="str">
        <f aca="false">IF(G$4&gt;0,(IF(F47&lt;&gt;0,F47*G$4/100," ")),IF(F47&lt;&gt;0,F47*G$2/(100+G$2)," "))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G48" s="2" t="str">
        <f aca="false">IF(G$4&gt;0,(IF(F48&lt;&gt;0,F48*G$4/100," ")),IF(F48&lt;&gt;0,F48*G$2/(100+G$2)," "))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G49" s="2" t="str">
        <f aca="false">IF(G$4&gt;0,(IF(F49&lt;&gt;0,F49*G$4/100," ")),IF(F49&lt;&gt;0,F49*G$2/(100+G$2)," "))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G50" s="2" t="str">
        <f aca="false">IF(G$4&gt;0,(IF(F50&lt;&gt;0,F50*G$4/100," ")),IF(F50&lt;&gt;0,F50*G$2/(100+G$2)," "))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G51" s="2" t="str">
        <f aca="false">IF(G$4&gt;0,(IF(F51&lt;&gt;0,F51*G$4/100," ")),IF(F51&lt;&gt;0,F51*G$2/(100+G$2)," "))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G52" s="2" t="str">
        <f aca="false">IF(G$4&gt;0,(IF(F52&lt;&gt;0,F52*G$4/100," ")),IF(F52&lt;&gt;0,F52*G$2/(100+G$2)," "))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G53" s="2" t="str">
        <f aca="false">IF(G$4&gt;0,(IF(F53&lt;&gt;0,F53*G$4/100," ")),IF(F53&lt;&gt;0,F53*G$2/(100+G$2)," "))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G54" s="2" t="str">
        <f aca="false">IF(G$4&gt;0,(IF(F54&lt;&gt;0,F54*G$4/100," ")),IF(F54&lt;&gt;0,F54*G$2/(100+G$2)," "))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G55" s="2" t="str">
        <f aca="false">IF(G$4&gt;0,(IF(F55&lt;&gt;0,F55*G$4/100," ")),IF(F55&lt;&gt;0,F55*G$2/(100+G$2)," "))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G56" s="2" t="str">
        <f aca="false">IF(G$4&gt;0,(IF(F56&lt;&gt;0,F56*G$4/100," ")),IF(F56&lt;&gt;0,F56*G$2/(100+G$2)," "))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G57" s="2" t="str">
        <f aca="false">IF(G$4&gt;0,(IF(F57&lt;&gt;0,F57*G$4/100," ")),IF(F57&lt;&gt;0,F57*G$2/(100+G$2)," "))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G58" s="2" t="str">
        <f aca="false">IF(G$4&gt;0,(IF(F58&lt;&gt;0,F58*G$4/100," ")),IF(F58&lt;&gt;0,F58*G$2/(100+G$2)," "))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G59" s="2" t="str">
        <f aca="false">IF(G$4&gt;0,(IF(F59&lt;&gt;0,F59*G$4/100," ")),IF(F59&lt;&gt;0,F59*G$2/(100+G$2)," "))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G60" s="2" t="str">
        <f aca="false">IF(G$4&gt;0,(IF(F60&lt;&gt;0,F60*G$4/100," ")),IF(F60&lt;&gt;0,F60*G$2/(100+G$2)," "))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G61" s="2" t="str">
        <f aca="false">IF(G$4&gt;0,(IF(F61&lt;&gt;0,F61*G$4/100," ")),IF(F61&lt;&gt;0,F61*G$2/(100+G$2)," "))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G62" s="2" t="str">
        <f aca="false">IF(G$4&gt;0,(IF(F62&lt;&gt;0,F62*G$4/100," ")),IF(F62&lt;&gt;0,F62*G$2/(100+G$2)," "))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G63" s="2" t="str">
        <f aca="false">IF(G$4&gt;0,(IF(F63&lt;&gt;0,F63*G$4/100," ")),IF(F63&lt;&gt;0,F63*G$2/(100+G$2)," "))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G64" s="2" t="str">
        <f aca="false">IF(G$4&gt;0,(IF(F64&lt;&gt;0,F64*G$4/100," ")),IF(F64&lt;&gt;0,F64*G$2/(100+G$2)," "))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G65" s="2" t="str">
        <f aca="false">IF(G$4&gt;0,(IF(F65&lt;&gt;0,F65*G$4/100," ")),IF(F65&lt;&gt;0,F65*G$2/(100+G$2)," "))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G66" s="2" t="str">
        <f aca="false">IF(G$4&gt;0,(IF(F66&lt;&gt;0,F66*G$4/100," ")),IF(F66&lt;&gt;0,F66*G$2/(100+G$2)," "))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G67" s="2" t="str">
        <f aca="false">IF(G$4&gt;0,(IF(F67&lt;&gt;0,F67*G$4/100," ")),IF(F67&lt;&gt;0,F67*G$2/(100+G$2)," "))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G68" s="2" t="str">
        <f aca="false">IF(G$4&gt;0,(IF(F68&lt;&gt;0,F68*G$4/100," ")),IF(F68&lt;&gt;0,F68*G$2/(100+G$2)," "))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G69" s="2" t="str">
        <f aca="false">IF(G$4&gt;0,(IF(F69&lt;&gt;0,F69*G$4/100," ")),IF(F69&lt;&gt;0,F69*G$2/(100+G$2)," "))</f>
        <v> </v>
      </c>
      <c r="H69" s="2" t="str">
        <f aca="false">IF((F69&lt;&gt;0),F69-G69,"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G70" s="2" t="str">
        <f aca="false">IF(G$4&gt;0,(IF(F70&lt;&gt;0,F70*G$4/100," ")),IF(F70&lt;&gt;0,F70*G$2/(100+G$2)," "))</f>
        <v> </v>
      </c>
      <c r="H70" s="2" t="str">
        <f aca="false">IF((F70&lt;&gt;0),F70-G70,"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G71" s="2" t="str">
        <f aca="false">IF(G$4&gt;0,(IF(F71&lt;&gt;0,F71*G$4/100," ")),IF(F71&lt;&gt;0,F71*G$2/(100+G$2)," "))</f>
        <v> </v>
      </c>
      <c r="H71" s="2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G72" s="2" t="str">
        <f aca="false">IF(G$4&gt;0,(IF(F72&lt;&gt;0,F72*G$4/100," ")),IF(F72&lt;&gt;0,F72*G$2/(100+G$2)," "))</f>
        <v> </v>
      </c>
      <c r="H72" s="2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G73" s="2" t="str">
        <f aca="false">IF(G$4&gt;0,(IF(F73&lt;&gt;0,F73*G$4/100," ")),IF(F73&lt;&gt;0,F73*G$2/(100+G$2)," "))</f>
        <v> </v>
      </c>
      <c r="H73" s="2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G74" s="2" t="str">
        <f aca="false">IF(G$4&gt;0,(IF(F74&lt;&gt;0,F74*G$4/100," ")),IF(F74&lt;&gt;0,F74*G$2/(100+G$2)," "))</f>
        <v> </v>
      </c>
      <c r="H74" s="2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G75" s="2" t="str">
        <f aca="false">IF(G$4&gt;0,(IF(F75&lt;&gt;0,F75*G$4/100," ")),IF(F75&lt;&gt;0,F75*G$2/(100+G$2)," "))</f>
        <v> </v>
      </c>
      <c r="H75" s="2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G76" s="2" t="str">
        <f aca="false">IF(G$4&gt;0,(IF(F76&lt;&gt;0,F76*G$4/100," ")),IF(F76&lt;&gt;0,F76*G$2/(100+G$2)," "))</f>
        <v> </v>
      </c>
      <c r="H76" s="2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G77" s="2" t="str">
        <f aca="false">IF(G$4&gt;0,(IF(F77&lt;&gt;0,F77*G$4/100," ")),IF(F77&lt;&gt;0,F77*G$2/(100+G$2)," "))</f>
        <v> </v>
      </c>
      <c r="H77" s="2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G78" s="2" t="str">
        <f aca="false">IF(G$4&gt;0,(IF(F78&lt;&gt;0,F78*G$4/100," ")),IF(F78&lt;&gt;0,F78*G$2/(100+G$2)," "))</f>
        <v> </v>
      </c>
      <c r="H78" s="2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G79" s="2" t="str">
        <f aca="false">IF(G$4&gt;0,(IF(F79&lt;&gt;0,F79*G$4/100," ")),IF(F79&lt;&gt;0,F79*G$2/(100+G$2)," "))</f>
        <v> </v>
      </c>
      <c r="H79" s="2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G80" s="2" t="str">
        <f aca="false">IF(G$4&gt;0,(IF(F80&lt;&gt;0,F80*G$4/100," ")),IF(F80&lt;&gt;0,F80*G$2/(100+G$2)," "))</f>
        <v> </v>
      </c>
      <c r="H80" s="2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G81" s="2" t="str">
        <f aca="false">IF(G$4&gt;0,(IF(F81&lt;&gt;0,F81*G$4/100," ")),IF(F81&lt;&gt;0,F81*G$2/(100+G$2)," "))</f>
        <v> </v>
      </c>
      <c r="H81" s="2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G82" s="2" t="str">
        <f aca="false">IF(G$4&gt;0,(IF(F82&lt;&gt;0,F82*G$4/100," ")),IF(F82&lt;&gt;0,F82*G$2/(100+G$2)," "))</f>
        <v> </v>
      </c>
      <c r="H82" s="2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G83" s="2" t="str">
        <f aca="false">IF(G$4&gt;0,(IF(F83&lt;&gt;0,F83*G$4/100," ")),IF(F83&lt;&gt;0,F83*G$2/(100+G$2)," "))</f>
        <v> </v>
      </c>
      <c r="H83" s="2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G84" s="2" t="str">
        <f aca="false">IF(G$4&gt;0,(IF(F84&lt;&gt;0,F84*G$4/100," ")),IF(F84&lt;&gt;0,F84*G$2/(100+G$2)," "))</f>
        <v> </v>
      </c>
      <c r="H84" s="2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G85" s="2" t="str">
        <f aca="false">IF(G$4&gt;0,(IF(F85&lt;&gt;0,F85*G$4/100," ")),IF(F85&lt;&gt;0,F85*G$2/(100+G$2)," "))</f>
        <v> </v>
      </c>
      <c r="H85" s="2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G86" s="2" t="str">
        <f aca="false">IF(G$4&gt;0,(IF(F86&lt;&gt;0,F86*G$4/100," ")),IF(F86&lt;&gt;0,F86*G$2/(100+G$2)," "))</f>
        <v> </v>
      </c>
      <c r="H86" s="2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G87" s="2" t="str">
        <f aca="false">IF(G$4&gt;0,(IF(F87&lt;&gt;0,F87*G$4/100," ")),IF(F87&lt;&gt;0,F87*G$2/(100+G$2)," "))</f>
        <v> </v>
      </c>
      <c r="H87" s="2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G88" s="2" t="str">
        <f aca="false">IF(G$4&gt;0,(IF(F88&lt;&gt;0,F88*G$4/100," ")),IF(F88&lt;&gt;0,F88*G$2/(100+G$2)," "))</f>
        <v> </v>
      </c>
      <c r="H88" s="2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G89" s="2" t="str">
        <f aca="false">IF(G$4&gt;0,(IF(F89&lt;&gt;0,F89*G$4/100," ")),IF(F89&lt;&gt;0,F89*G$2/(100+G$2)," "))</f>
        <v> </v>
      </c>
      <c r="H89" s="2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G90" s="2" t="str">
        <f aca="false">IF(G$4&gt;0,(IF(F90&lt;&gt;0,F90*G$4/100," ")),IF(F90&lt;&gt;0,F90*G$2/(100+G$2)," "))</f>
        <v> </v>
      </c>
      <c r="H90" s="2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G91" s="2" t="str">
        <f aca="false">IF(G$4&gt;0,(IF(F91&lt;&gt;0,F91*G$4/100," ")),IF(F91&lt;&gt;0,F91*G$2/(100+G$2)," "))</f>
        <v> </v>
      </c>
      <c r="H91" s="2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G92" s="2" t="str">
        <f aca="false">IF(G$4&gt;0,(IF(F92&lt;&gt;0,F92*G$4/100," ")),IF(F92&lt;&gt;0,F92*G$2/(100+G$2)," "))</f>
        <v> </v>
      </c>
      <c r="H92" s="2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G93" s="2" t="str">
        <f aca="false">IF(G$4&gt;0,(IF(F93&lt;&gt;0,F93*G$4/100," ")),IF(F93&lt;&gt;0,F93*G$2/(100+G$2)," "))</f>
        <v> </v>
      </c>
      <c r="H93" s="2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G94" s="2" t="str">
        <f aca="false">IF(G$4&gt;0,(IF(F94&lt;&gt;0,F94*G$4/100," ")),IF(F94&lt;&gt;0,F94*G$2/(100+G$2)," "))</f>
        <v> </v>
      </c>
      <c r="H94" s="2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G95" s="2" t="str">
        <f aca="false">IF(G$4&gt;0,(IF(F95&lt;&gt;0,F95*G$4/100," ")),IF(F95&lt;&gt;0,F95*G$2/(100+G$2)," "))</f>
        <v> </v>
      </c>
      <c r="H95" s="2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G96" s="2" t="str">
        <f aca="false">IF(G$4&gt;0,(IF(F96&lt;&gt;0,F96*G$4/100," ")),IF(F96&lt;&gt;0,F96*G$2/(100+G$2)," "))</f>
        <v> </v>
      </c>
      <c r="H96" s="2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G97" s="2" t="str">
        <f aca="false">IF(G$4&gt;0,(IF(F97&lt;&gt;0,F97*G$4/100," ")),IF(F97&lt;&gt;0,F97*G$2/(100+G$2)," "))</f>
        <v> </v>
      </c>
      <c r="H97" s="2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G98" s="2" t="str">
        <f aca="false">IF(G$4&gt;0,(IF(F98&lt;&gt;0,F98*G$4/100," ")),IF(F98&lt;&gt;0,F98*G$2/(100+G$2)," "))</f>
        <v> </v>
      </c>
      <c r="H98" s="2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G99" s="2" t="str">
        <f aca="false">IF(G$4&gt;0,(IF(F99&lt;&gt;0,F99*G$4/100," ")),IF(F99&lt;&gt;0,F99*G$2/(100+G$2)," "))</f>
        <v> </v>
      </c>
      <c r="H99" s="2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G100" s="2" t="str">
        <f aca="false">IF(G$4&gt;0,(IF(F100&lt;&gt;0,F100*G$4/100," ")),IF(F100&lt;&gt;0,F100*G$2/(100+G$2)," "))</f>
        <v> </v>
      </c>
      <c r="H100" s="2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G101" s="2" t="str">
        <f aca="false">IF(G$4&gt;0,(IF(F101&lt;&gt;0,F101*G$4/100," ")),IF(F101&lt;&gt;0,F101*G$2/(100+G$2)," "))</f>
        <v> </v>
      </c>
      <c r="H101" s="2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G102" s="2" t="str">
        <f aca="false">IF(G$4&gt;0,(IF(F102&lt;&gt;0,F102*G$4/100," ")),IF(F102&lt;&gt;0,F102*G$2/(100+G$2)," "))</f>
        <v> </v>
      </c>
      <c r="H102" s="2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G103" s="2" t="str">
        <f aca="false">IF(G$4&gt;0,(IF(F103&lt;&gt;0,F103*G$4/100," ")),IF(F103&lt;&gt;0,F103*G$2/(100+G$2)," "))</f>
        <v> </v>
      </c>
      <c r="H103" s="2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G104" s="2" t="str">
        <f aca="false">IF(G$4&gt;0,(IF(F104&lt;&gt;0,F104*G$4/100," ")),IF(F104&lt;&gt;0,F104*G$2/(100+G$2)," "))</f>
        <v> </v>
      </c>
      <c r="H104" s="2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G105" s="2" t="str">
        <f aca="false">IF(G$4&gt;0,(IF(F105&lt;&gt;0,F105*G$4/100," ")),IF(F105&lt;&gt;0,F105*G$2/(100+G$2)," "))</f>
        <v> </v>
      </c>
      <c r="H105" s="2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G106" s="2" t="str">
        <f aca="false">IF(G$4&gt;0,(IF(F106&lt;&gt;0,F106*G$4/100," ")),IF(F106&lt;&gt;0,F106*G$2/(100+G$2)," "))</f>
        <v> </v>
      </c>
      <c r="H106" s="2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G107" s="2" t="str">
        <f aca="false">IF(G$4&gt;0,(IF(F107&lt;&gt;0,F107*G$4/100," ")),IF(F107&lt;&gt;0,F107*G$2/(100+G$2)," "))</f>
        <v> </v>
      </c>
      <c r="H107" s="2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G108" s="2" t="str">
        <f aca="false">IF(G$4&gt;0,(IF(F108&lt;&gt;0,F108*G$4/100," ")),IF(F108&lt;&gt;0,F108*G$2/(100+G$2)," "))</f>
        <v> </v>
      </c>
      <c r="H108" s="2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G109" s="2" t="str">
        <f aca="false">IF(G$4&gt;0,(IF(F109&lt;&gt;0,F109*G$4/100," ")),IF(F109&lt;&gt;0,F109*G$2/(100+G$2)," "))</f>
        <v> </v>
      </c>
      <c r="H109" s="2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G110" s="2" t="str">
        <f aca="false">IF(G$4&gt;0,(IF(F110&lt;&gt;0,F110*G$4/100," ")),IF(F110&lt;&gt;0,F110*G$2/(100+G$2)," "))</f>
        <v> </v>
      </c>
      <c r="H110" s="2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G111" s="2" t="str">
        <f aca="false">IF(G$4&gt;0,(IF(F111&lt;&gt;0,F111*G$4/100," ")),IF(F111&lt;&gt;0,F111*G$2/(100+G$2)," "))</f>
        <v> </v>
      </c>
      <c r="H111" s="2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G112" s="2" t="str">
        <f aca="false">IF(G$4&gt;0,(IF(F112&lt;&gt;0,F112*G$4/100," ")),IF(F112&lt;&gt;0,F112*G$2/(100+G$2)," "))</f>
        <v> </v>
      </c>
      <c r="H112" s="2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G113" s="2" t="str">
        <f aca="false">IF(G$4&gt;0,(IF(F113&lt;&gt;0,F113*G$4/100," ")),IF(F113&lt;&gt;0,F113*G$2/(100+G$2)," "))</f>
        <v> </v>
      </c>
      <c r="H113" s="2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G114" s="2" t="str">
        <f aca="false">IF(G$4&gt;0,(IF(F114&lt;&gt;0,F114*G$4/100," ")),IF(F114&lt;&gt;0,F114*G$2/(100+G$2)," "))</f>
        <v> </v>
      </c>
      <c r="H114" s="2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G115" s="2" t="str">
        <f aca="false">IF(G$4&gt;0,(IF(F115&lt;&gt;0,F115*G$4/100," ")),IF(F115&lt;&gt;0,F115*G$2/(100+G$2)," "))</f>
        <v> </v>
      </c>
      <c r="H115" s="2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G116" s="2" t="str">
        <f aca="false">IF(G$4&gt;0,(IF(F116&lt;&gt;0,F116*G$4/100," ")),IF(F116&lt;&gt;0,F116*G$2/(100+G$2)," "))</f>
        <v> </v>
      </c>
      <c r="H116" s="2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G117" s="2" t="str">
        <f aca="false">IF(G$4&gt;0,(IF(F117&lt;&gt;0,F117*G$4/100," ")),IF(F117&lt;&gt;0,F117*G$2/(100+G$2)," "))</f>
        <v> </v>
      </c>
      <c r="H117" s="2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G118" s="2" t="str">
        <f aca="false">IF(G$4&gt;0,(IF(F118&lt;&gt;0,F118*G$4/100," ")),IF(F118&lt;&gt;0,F118*G$2/(100+G$2)," "))</f>
        <v> </v>
      </c>
      <c r="H118" s="2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G119" s="2" t="str">
        <f aca="false">IF(G$4&gt;0,(IF(F119&lt;&gt;0,F119*G$4/100," ")),IF(F119&lt;&gt;0,F119*G$2/(100+G$2)," "))</f>
        <v> </v>
      </c>
      <c r="H119" s="2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G120" s="2" t="str">
        <f aca="false">IF(G$4&gt;0,(IF(F120&lt;&gt;0,F120*G$4/100," ")),IF(F120&lt;&gt;0,F120*G$2/(100+G$2)," "))</f>
        <v> </v>
      </c>
      <c r="H120" s="2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G121" s="2" t="str">
        <f aca="false">IF(G$4&gt;0,(IF(F121&lt;&gt;0,F121*G$4/100," ")),IF(F121&lt;&gt;0,F121*G$2/(100+G$2)," "))</f>
        <v> </v>
      </c>
      <c r="H121" s="2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G122" s="2" t="str">
        <f aca="false">IF(G$4&gt;0,(IF(F122&lt;&gt;0,F122*G$4/100," ")),IF(F122&lt;&gt;0,F122*G$2/(100+G$2)," "))</f>
        <v> </v>
      </c>
      <c r="H122" s="2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G123" s="2" t="str">
        <f aca="false">IF(G$4&gt;0,(IF(F123&lt;&gt;0,F123*G$4/100," ")),IF(F123&lt;&gt;0,F123*G$2/(100+G$2)," "))</f>
        <v> </v>
      </c>
      <c r="H123" s="2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G124" s="2" t="str">
        <f aca="false">IF(G$4&gt;0,(IF(F124&lt;&gt;0,F124*G$4/100," ")),IF(F124&lt;&gt;0,F124*G$2/(100+G$2)," "))</f>
        <v> </v>
      </c>
      <c r="H124" s="2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G125" s="2" t="str">
        <f aca="false">IF(G$4&gt;0,(IF(F125&lt;&gt;0,F125*G$4/100," ")),IF(F125&lt;&gt;0,F125*G$2/(100+G$2)," "))</f>
        <v> </v>
      </c>
      <c r="H125" s="2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G126" s="2" t="str">
        <f aca="false">IF(G$4&gt;0,(IF(F126&lt;&gt;0,F126*G$4/100," ")),IF(F126&lt;&gt;0,F126*G$2/(100+G$2)," "))</f>
        <v> </v>
      </c>
      <c r="H126" s="2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G127" s="2" t="str">
        <f aca="false">IF(G$4&gt;0,(IF(F127&lt;&gt;0,F127*G$4/100," ")),IF(F127&lt;&gt;0,F127*G$2/(100+G$2)," "))</f>
        <v> </v>
      </c>
      <c r="H127" s="2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G128" s="2" t="str">
        <f aca="false">IF(G$4&gt;0,(IF(F128&lt;&gt;0,F128*G$4/100," ")),IF(F128&lt;&gt;0,F128*G$2/(100+G$2)," "))</f>
        <v> </v>
      </c>
      <c r="H128" s="2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G129" s="2" t="str">
        <f aca="false">IF(G$4&gt;0,(IF(F129&lt;&gt;0,F129*G$4/100," ")),IF(F129&lt;&gt;0,F129*G$2/(100+G$2)," "))</f>
        <v> </v>
      </c>
      <c r="H129" s="2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G130" s="2" t="str">
        <f aca="false">IF(G$4&gt;0,(IF(F130&lt;&gt;0,F130*G$4/100," ")),IF(F130&lt;&gt;0,F130*G$2/(100+G$2)," "))</f>
        <v> </v>
      </c>
      <c r="H130" s="2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G131" s="2" t="str">
        <f aca="false">IF(G$4&gt;0,(IF(F131&lt;&gt;0,F131*G$4/100," ")),IF(F131&lt;&gt;0,F131*G$2/(100+G$2)," "))</f>
        <v> </v>
      </c>
      <c r="H131" s="2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G132" s="2" t="str">
        <f aca="false">IF(G$4&gt;0,(IF(F132&lt;&gt;0,F132*G$4/100," ")),IF(F132&lt;&gt;0,F132*G$2/(100+G$2)," "))</f>
        <v> </v>
      </c>
      <c r="H132" s="2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G133" s="2" t="str">
        <f aca="false">IF(G$4&gt;0,(IF(F133&lt;&gt;0,F133*G$4/100," ")),IF(F133&lt;&gt;0,F133*G$2/(100+G$2)," "))</f>
        <v> </v>
      </c>
      <c r="H133" s="2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G134" s="2" t="str">
        <f aca="false">IF(G$4&gt;0,(IF(F134&lt;&gt;0,F134*G$4/100," ")),IF(F134&lt;&gt;0,F134*G$2/(100+G$2)," "))</f>
        <v> </v>
      </c>
      <c r="H134" s="2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G135" s="2" t="str">
        <f aca="false">IF(G$4&gt;0,(IF(F135&lt;&gt;0,F135*G$4/100," ")),IF(F135&lt;&gt;0,F135*G$2/(100+G$2)," "))</f>
        <v> </v>
      </c>
      <c r="H135" s="2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G136" s="2" t="str">
        <f aca="false">IF(G$4&gt;0,(IF(F136&lt;&gt;0,F136*G$4/100," ")),IF(F136&lt;&gt;0,F136*G$2/(100+G$2)," "))</f>
        <v> </v>
      </c>
      <c r="H136" s="2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G137" s="2" t="str">
        <f aca="false">IF(G$4&gt;0,(IF(F137&lt;&gt;0,F137*G$4/100," ")),IF(F137&lt;&gt;0,F137*G$2/(100+G$2)," "))</f>
        <v> </v>
      </c>
      <c r="H137" s="2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G138" s="2" t="str">
        <f aca="false">IF(G$4&gt;0,(IF(F138&lt;&gt;0,F138*G$4/100," ")),IF(F138&lt;&gt;0,F138*G$2/(100+G$2)," "))</f>
        <v> </v>
      </c>
      <c r="H138" s="2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G139" s="2" t="str">
        <f aca="false">IF(G$4&gt;0,(IF(F139&lt;&gt;0,F139*G$4/100," ")),IF(F139&lt;&gt;0,F139*G$2/(100+G$2)," "))</f>
        <v> </v>
      </c>
      <c r="H139" s="2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G140" s="2" t="str">
        <f aca="false">IF(G$4&gt;0,(IF(F140&lt;&gt;0,F140*G$4/100," ")),IF(F140&lt;&gt;0,F140*G$2/(100+G$2)," "))</f>
        <v> </v>
      </c>
      <c r="H140" s="2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G141" s="2" t="str">
        <f aca="false">IF(G$4&gt;0,(IF(F141&lt;&gt;0,F141*G$4/100," ")),IF(F141&lt;&gt;0,F141*G$2/(100+G$2)," "))</f>
        <v> </v>
      </c>
      <c r="H141" s="2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G142" s="2" t="str">
        <f aca="false">IF(G$4&gt;0,(IF(F142&lt;&gt;0,F142*G$4/100," ")),IF(F142&lt;&gt;0,F142*G$2/(100+G$2)," "))</f>
        <v> </v>
      </c>
      <c r="H142" s="2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G143" s="2" t="str">
        <f aca="false">IF(G$4&gt;0,(IF(F143&lt;&gt;0,F143*G$4/100," ")),IF(F143&lt;&gt;0,F143*G$2/(100+G$2)," "))</f>
        <v> </v>
      </c>
      <c r="H143" s="2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G144" s="2" t="str">
        <f aca="false">IF(G$4&gt;0,(IF(F144&lt;&gt;0,F144*G$4/100," ")),IF(F144&lt;&gt;0,F144*G$2/(100+G$2)," "))</f>
        <v> </v>
      </c>
      <c r="H144" s="2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G145" s="2" t="str">
        <f aca="false">IF(G$4&gt;0,(IF(F145&lt;&gt;0,F145*G$4/100," ")),IF(F145&lt;&gt;0,F145*G$2/(100+G$2)," "))</f>
        <v> </v>
      </c>
      <c r="H145" s="2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G146" s="2" t="str">
        <f aca="false">IF(G$4&gt;0,(IF(F146&lt;&gt;0,F146*G$4/100," ")),IF(F146&lt;&gt;0,F146*G$2/(100+G$2)," "))</f>
        <v> </v>
      </c>
      <c r="H146" s="2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G147" s="2" t="str">
        <f aca="false">IF(G$4&gt;0,(IF(F147&lt;&gt;0,F147*G$4/100," ")),IF(F147&lt;&gt;0,F147*G$2/(100+G$2)," "))</f>
        <v> </v>
      </c>
      <c r="H147" s="2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G148" s="2" t="str">
        <f aca="false">IF(G$4&gt;0,(IF(F148&lt;&gt;0,F148*G$4/100," ")),IF(F148&lt;&gt;0,F148*G$2/(100+G$2)," "))</f>
        <v> </v>
      </c>
      <c r="H148" s="2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G149" s="2" t="str">
        <f aca="false">IF(G$4&gt;0,(IF(F149&lt;&gt;0,F149*G$4/100," ")),IF(F149&lt;&gt;0,F149*G$2/(100+G$2)," "))</f>
        <v> </v>
      </c>
      <c r="H149" s="2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G150" s="2" t="str">
        <f aca="false">IF(G$4&gt;0,(IF(F150&lt;&gt;0,F150*G$4/100," ")),IF(F150&lt;&gt;0,F150*G$2/(100+G$2)," "))</f>
        <v> </v>
      </c>
      <c r="H150" s="2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G151" s="2" t="str">
        <f aca="false">IF(G$4&gt;0,(IF(F151&lt;&gt;0,F151*G$4/100," ")),IF(F151&lt;&gt;0,F151*G$2/(100+G$2)," "))</f>
        <v> </v>
      </c>
      <c r="H151" s="2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G152" s="2" t="str">
        <f aca="false">IF(G$4&gt;0,(IF(F152&lt;&gt;0,F152*G$4/100," ")),IF(F152&lt;&gt;0,F152*G$2/(100+G$2)," "))</f>
        <v> </v>
      </c>
      <c r="H152" s="2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G153" s="2" t="str">
        <f aca="false">IF(G$4&gt;0,(IF(F153&lt;&gt;0,F153*G$4/100," ")),IF(F153&lt;&gt;0,F153*G$2/(100+G$2)," "))</f>
        <v> </v>
      </c>
      <c r="H153" s="2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G154" s="2" t="str">
        <f aca="false">IF(G$4&gt;0,(IF(F154&lt;&gt;0,F154*G$4/100," ")),IF(F154&lt;&gt;0,F154*G$2/(100+G$2)," "))</f>
        <v> </v>
      </c>
      <c r="H154" s="2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G155" s="2" t="str">
        <f aca="false">IF(G$4&gt;0,(IF(F155&lt;&gt;0,F155*G$4/100," ")),IF(F155&lt;&gt;0,F155*G$2/(100+G$2)," "))</f>
        <v> </v>
      </c>
      <c r="H155" s="2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G156" s="2" t="str">
        <f aca="false">IF(G$4&gt;0,(IF(F156&lt;&gt;0,F156*G$4/100," ")),IF(F156&lt;&gt;0,F156*G$2/(100+G$2)," "))</f>
        <v> </v>
      </c>
      <c r="H156" s="2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G157" s="2" t="str">
        <f aca="false">IF(G$4&gt;0,(IF(F157&lt;&gt;0,F157*G$4/100," ")),IF(F157&lt;&gt;0,F157*G$2/(100+G$2)," "))</f>
        <v> </v>
      </c>
      <c r="H157" s="2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G158" s="2" t="str">
        <f aca="false">IF(G$4&gt;0,(IF(F158&lt;&gt;0,F158*G$4/100," ")),IF(F158&lt;&gt;0,F158*G$2/(100+G$2)," "))</f>
        <v> </v>
      </c>
      <c r="H158" s="2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G159" s="2" t="str">
        <f aca="false">IF(G$4&gt;0,(IF(F159&lt;&gt;0,F159*G$4/100," ")),IF(F159&lt;&gt;0,F159*G$2/(100+G$2)," "))</f>
        <v> </v>
      </c>
      <c r="H159" s="2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G160" s="2" t="str">
        <f aca="false">IF(G$4&gt;0,(IF(F160&lt;&gt;0,F160*G$4/100," ")),IF(F160&lt;&gt;0,F160*G$2/(100+G$2)," "))</f>
        <v> </v>
      </c>
      <c r="H160" s="2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G161" s="2" t="str">
        <f aca="false">IF(G$4&gt;0,(IF(F161&lt;&gt;0,F161*G$4/100," ")),IF(F161&lt;&gt;0,F161*G$2/(100+G$2)," "))</f>
        <v> </v>
      </c>
      <c r="H161" s="2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G162" s="2" t="str">
        <f aca="false">IF(G$4&gt;0,(IF(F162&lt;&gt;0,F162*G$4/100," ")),IF(F162&lt;&gt;0,F162*G$2/(100+G$2)," "))</f>
        <v> </v>
      </c>
      <c r="H162" s="2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G163" s="2" t="str">
        <f aca="false">IF(G$4&gt;0,(IF(F163&lt;&gt;0,F163*G$4/100," ")),IF(F163&lt;&gt;0,F163*G$2/(100+G$2)," "))</f>
        <v> </v>
      </c>
      <c r="H163" s="2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G164" s="2" t="str">
        <f aca="false">IF(G$4&gt;0,(IF(F164&lt;&gt;0,F164*G$4/100," ")),IF(F164&lt;&gt;0,F164*G$2/(100+G$2)," "))</f>
        <v> </v>
      </c>
      <c r="H164" s="2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G165" s="2" t="str">
        <f aca="false">IF(G$4&gt;0,(IF(F165&lt;&gt;0,F165*G$4/100," ")),IF(F165&lt;&gt;0,F165*G$2/(100+G$2)," "))</f>
        <v> </v>
      </c>
      <c r="H165" s="2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G166" s="2" t="str">
        <f aca="false">IF(G$4&gt;0,(IF(F166&lt;&gt;0,F166*G$4/100," ")),IF(F166&lt;&gt;0,F166*G$2/(100+G$2)," "))</f>
        <v> </v>
      </c>
      <c r="H166" s="2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G167" s="2" t="str">
        <f aca="false">IF(G$4&gt;0,(IF(F167&lt;&gt;0,F167*G$4/100," ")),IF(F167&lt;&gt;0,F167*G$2/(100+G$2)," "))</f>
        <v> </v>
      </c>
      <c r="H167" s="2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G168" s="2" t="str">
        <f aca="false">IF(G$4&gt;0,(IF(F168&lt;&gt;0,F168*G$4/100," ")),IF(F168&lt;&gt;0,F168*G$2/(100+G$2)," "))</f>
        <v> </v>
      </c>
      <c r="H168" s="2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G169" s="2" t="str">
        <f aca="false">IF(G$4&gt;0,(IF(F169&lt;&gt;0,F169*G$4/100," ")),IF(F169&lt;&gt;0,F169*G$2/(100+G$2)," "))</f>
        <v> </v>
      </c>
      <c r="H169" s="2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G170" s="2" t="str">
        <f aca="false">IF(G$4&gt;0,(IF(F170&lt;&gt;0,F170*G$4/100," ")),IF(F170&lt;&gt;0,F170*G$2/(100+G$2)," "))</f>
        <v> </v>
      </c>
      <c r="H170" s="2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G171" s="2" t="str">
        <f aca="false">IF(G$4&gt;0,(IF(F171&lt;&gt;0,F171*G$4/100," ")),IF(F171&lt;&gt;0,F171*G$2/(100+G$2)," "))</f>
        <v> </v>
      </c>
      <c r="H171" s="2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G172" s="2" t="str">
        <f aca="false">IF(G$4&gt;0,(IF(F172&lt;&gt;0,F172*G$4/100," ")),IF(F172&lt;&gt;0,F172*G$2/(100+G$2)," "))</f>
        <v> </v>
      </c>
      <c r="H172" s="2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G173" s="2" t="str">
        <f aca="false">IF(G$4&gt;0,(IF(F173&lt;&gt;0,F173*G$4/100," ")),IF(F173&lt;&gt;0,F173*G$2/(100+G$2)," "))</f>
        <v> </v>
      </c>
      <c r="H173" s="2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G174" s="2" t="str">
        <f aca="false">IF(G$4&gt;0,(IF(F174&lt;&gt;0,F174*G$4/100," ")),IF(F174&lt;&gt;0,F174*G$2/(100+G$2)," "))</f>
        <v> </v>
      </c>
      <c r="H174" s="2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G175" s="2" t="str">
        <f aca="false">IF(G$4&gt;0,(IF(F175&lt;&gt;0,F175*G$4/100," ")),IF(F175&lt;&gt;0,F175*G$2/(100+G$2)," "))</f>
        <v> </v>
      </c>
      <c r="H175" s="2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G176" s="2" t="str">
        <f aca="false">IF(G$4&gt;0,(IF(F176&lt;&gt;0,F176*G$4/100," ")),IF(F176&lt;&gt;0,F176*G$2/(100+G$2)," "))</f>
        <v> </v>
      </c>
      <c r="H176" s="2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G177" s="2" t="str">
        <f aca="false">IF(G$4&gt;0,(IF(F177&lt;&gt;0,F177*G$4/100," ")),IF(F177&lt;&gt;0,F177*G$2/(100+G$2)," "))</f>
        <v> </v>
      </c>
      <c r="H177" s="2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G178" s="2" t="str">
        <f aca="false">IF(G$4&gt;0,(IF(F178&lt;&gt;0,F178*G$4/100," ")),IF(F178&lt;&gt;0,F178*G$2/(100+G$2)," "))</f>
        <v> </v>
      </c>
      <c r="H178" s="2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G179" s="2" t="str">
        <f aca="false">IF(G$4&gt;0,(IF(F179&lt;&gt;0,F179*G$4/100," ")),IF(F179&lt;&gt;0,F179*G$2/(100+G$2)," "))</f>
        <v> </v>
      </c>
      <c r="H179" s="2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G180" s="2" t="str">
        <f aca="false">IF(G$4&gt;0,(IF(F180&lt;&gt;0,F180*G$4/100," ")),IF(F180&lt;&gt;0,F180*G$2/(100+G$2)," "))</f>
        <v> </v>
      </c>
      <c r="H180" s="2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G181" s="2" t="str">
        <f aca="false">IF(G$4&gt;0,(IF(F181&lt;&gt;0,F181*G$4/100," ")),IF(F181&lt;&gt;0,F181*G$2/(100+G$2)," "))</f>
        <v> </v>
      </c>
      <c r="H181" s="2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G182" s="2" t="str">
        <f aca="false">IF(G$4&gt;0,(IF(F182&lt;&gt;0,F182*G$4/100," ")),IF(F182&lt;&gt;0,F182*G$2/(100+G$2)," "))</f>
        <v> </v>
      </c>
      <c r="H182" s="2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G183" s="2" t="str">
        <f aca="false">IF(G$4&gt;0,(IF(F183&lt;&gt;0,F183*G$4/100," ")),IF(F183&lt;&gt;0,F183*G$2/(100+G$2)," "))</f>
        <v> </v>
      </c>
      <c r="H183" s="2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G184" s="2" t="str">
        <f aca="false">IF(G$4&gt;0,(IF(F184&lt;&gt;0,F184*G$4/100," ")),IF(F184&lt;&gt;0,F184*G$2/(100+G$2)," "))</f>
        <v> </v>
      </c>
      <c r="H184" s="2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G185" s="2" t="str">
        <f aca="false">IF(G$4&gt;0,(IF(F185&lt;&gt;0,F185*G$4/100," ")),IF(F185&lt;&gt;0,F185*G$2/(100+G$2)," "))</f>
        <v> </v>
      </c>
      <c r="H185" s="2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G186" s="2" t="str">
        <f aca="false">IF(G$4&gt;0,(IF(F186&lt;&gt;0,F186*G$4/100," ")),IF(F186&lt;&gt;0,F186*G$2/(100+G$2)," "))</f>
        <v> </v>
      </c>
      <c r="H186" s="2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G187" s="2" t="str">
        <f aca="false">IF(G$4&gt;0,(IF(F187&lt;&gt;0,F187*G$4/100," ")),IF(F187&lt;&gt;0,F187*G$2/(100+G$2)," "))</f>
        <v> </v>
      </c>
      <c r="H187" s="2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G188" s="2" t="str">
        <f aca="false">IF(G$4&gt;0,(IF(F188&lt;&gt;0,F188*G$4/100," ")),IF(F188&lt;&gt;0,F188*G$2/(100+G$2)," "))</f>
        <v> </v>
      </c>
      <c r="H188" s="2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G189" s="2" t="str">
        <f aca="false">IF(G$4&gt;0,(IF(F189&lt;&gt;0,F189*G$4/100," ")),IF(F189&lt;&gt;0,F189*G$2/(100+G$2)," "))</f>
        <v> </v>
      </c>
      <c r="H189" s="2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G190" s="2" t="str">
        <f aca="false">IF(G$4&gt;0,(IF(F190&lt;&gt;0,F190*G$4/100," ")),IF(F190&lt;&gt;0,F190*G$2/(100+G$2)," "))</f>
        <v> </v>
      </c>
      <c r="H190" s="2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G191" s="2" t="str">
        <f aca="false">IF(G$4&gt;0,(IF(F191&lt;&gt;0,F191*G$4/100," ")),IF(F191&lt;&gt;0,F191*G$2/(100+G$2)," "))</f>
        <v> </v>
      </c>
      <c r="H191" s="2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G192" s="2" t="str">
        <f aca="false">IF(G$4&gt;0,(IF(F192&lt;&gt;0,F192*G$4/100," ")),IF(F192&lt;&gt;0,F192*G$2/(100+G$2)," "))</f>
        <v> </v>
      </c>
      <c r="H192" s="2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G193" s="2" t="str">
        <f aca="false">IF(G$4&gt;0,(IF(F193&lt;&gt;0,F193*G$4/100," ")),IF(F193&lt;&gt;0,F193*G$2/(100+G$2)," "))</f>
        <v> </v>
      </c>
      <c r="H193" s="2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G194" s="2" t="str">
        <f aca="false">IF(G$4&gt;0,(IF(F194&lt;&gt;0,F194*G$4/100," ")),IF(F194&lt;&gt;0,F194*G$2/(100+G$2)," "))</f>
        <v> </v>
      </c>
      <c r="H194" s="2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G195" s="2" t="str">
        <f aca="false">IF(G$4&gt;0,(IF(F195&lt;&gt;0,F195*G$4/100," ")),IF(F195&lt;&gt;0,F195*G$2/(100+G$2)," "))</f>
        <v> </v>
      </c>
      <c r="H195" s="2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G196" s="2" t="str">
        <f aca="false">IF(G$4&gt;0,(IF(F196&lt;&gt;0,F196*G$4/100," ")),IF(F196&lt;&gt;0,F196*G$2/(100+G$2)," "))</f>
        <v> </v>
      </c>
      <c r="H196" s="2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G197" s="2" t="str">
        <f aca="false">IF(G$4&gt;0,(IF(F197&lt;&gt;0,F197*G$4/100," ")),IF(F197&lt;&gt;0,F197*G$2/(100+G$2)," "))</f>
        <v> </v>
      </c>
      <c r="H197" s="2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G198" s="2" t="str">
        <f aca="false">IF(G$4&gt;0,(IF(F198&lt;&gt;0,F198*G$4/100," ")),IF(F198&lt;&gt;0,F198*G$2/(100+G$2)," "))</f>
        <v> </v>
      </c>
      <c r="H198" s="2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G199" s="2" t="str">
        <f aca="false">IF(G$4&gt;0,(IF(F199&lt;&gt;0,F199*G$4/100," ")),IF(F199&lt;&gt;0,F199*G$2/(100+G$2)," "))</f>
        <v> </v>
      </c>
      <c r="H199" s="2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G200" s="2" t="str">
        <f aca="false">IF(G$4&gt;0,(IF(F200&lt;&gt;0,F200*G$4/100," ")),IF(F200&lt;&gt;0,F200*G$2/(100+G$2)," "))</f>
        <v> </v>
      </c>
      <c r="H200" s="2" t="str">
        <f aca="false">IF((F200&lt;&gt;0),F200-G200," ")</f>
        <v> </v>
      </c>
      <c r="L200" s="7" t="str">
        <f aca="false">IF(F200&lt;&gt;0,F200-K200," ")</f>
        <v> </v>
      </c>
      <c r="M200" s="8" t="str">
        <f aca="false">IF((F200-K200)&lt;&gt;0,M$1-A200," ")</f>
        <v> </v>
      </c>
    </row>
    <row r="201" customFormat="false" ht="12" hidden="false" customHeight="false" outlineLevel="0" collapsed="false">
      <c r="G201" s="2" t="str">
        <f aca="false">IF(G$4&gt;0,(IF(F201&lt;&gt;0,F201*G$4/100," ")),IF(F201&lt;&gt;0,F201*G$2/(100+G$2)," "))</f>
        <v> </v>
      </c>
      <c r="H201" s="2" t="str">
        <f aca="false">IF((F201&lt;&gt;0),F201-G201," ")</f>
        <v> </v>
      </c>
      <c r="L201" s="7" t="str">
        <f aca="false">IF(F201&lt;&gt;0,F201-K201," ")</f>
        <v> </v>
      </c>
      <c r="M201" s="8" t="str">
        <f aca="false">IF((F201-K201)&lt;&gt;0,M$1-A201," ")</f>
        <v> </v>
      </c>
    </row>
    <row r="202" customFormat="false" ht="12" hidden="false" customHeight="false" outlineLevel="0" collapsed="false">
      <c r="G202" s="2" t="str">
        <f aca="false">IF(G$4&gt;0,(IF(F202&lt;&gt;0,F202*G$4/100," ")),IF(F202&lt;&gt;0,F202*G$2/(100+G$2)," "))</f>
        <v> </v>
      </c>
      <c r="H202" s="2" t="str">
        <f aca="false">IF((F202&lt;&gt;0),F202-G202," ")</f>
        <v> </v>
      </c>
      <c r="L202" s="7" t="str">
        <f aca="false">IF(F202&lt;&gt;0,F202-K202," ")</f>
        <v> </v>
      </c>
      <c r="M202" s="8" t="str">
        <f aca="false">IF((F202-K202)&lt;&gt;0,M$1-A202," ")</f>
        <v> </v>
      </c>
    </row>
    <row r="203" customFormat="false" ht="12" hidden="false" customHeight="false" outlineLevel="0" collapsed="false">
      <c r="G203" s="2" t="str">
        <f aca="false">IF(G$4&gt;0,(IF(F203&lt;&gt;0,F203*G$4/100," ")),IF(F203&lt;&gt;0,F203*G$2/(100+G$2)," "))</f>
        <v> </v>
      </c>
      <c r="H203" s="2" t="str">
        <f aca="false">IF((F203&lt;&gt;0),F203-G203," ")</f>
        <v> </v>
      </c>
      <c r="L203" s="7" t="str">
        <f aca="false">IF(F203&lt;&gt;0,F203-K203," ")</f>
        <v> </v>
      </c>
      <c r="M203" s="8" t="str">
        <f aca="false">IF((F203-K203)&lt;&gt;0,M$1-A203," ")</f>
        <v> </v>
      </c>
    </row>
    <row r="204" customFormat="false" ht="12" hidden="false" customHeight="false" outlineLevel="0" collapsed="false">
      <c r="G204" s="2" t="str">
        <f aca="false">IF(G$4&gt;0,(IF(F204&lt;&gt;0,F204*G$4/100," ")),IF(F204&lt;&gt;0,F204*G$2/(100+G$2)," "))</f>
        <v> </v>
      </c>
      <c r="H204" s="2" t="str">
        <f aca="false">IF((F204&lt;&gt;0),F204-G204," ")</f>
        <v> </v>
      </c>
      <c r="L204" s="7" t="str">
        <f aca="false">IF(F204&lt;&gt;0,F204-K204," ")</f>
        <v> </v>
      </c>
      <c r="M204" s="8" t="str">
        <f aca="false">IF((F204-K204)&lt;&gt;0,M$1-A204," ")</f>
        <v> </v>
      </c>
    </row>
    <row r="205" customFormat="false" ht="12" hidden="false" customHeight="false" outlineLevel="0" collapsed="false">
      <c r="G205" s="2" t="str">
        <f aca="false">IF(G$4&gt;0,(IF(F205&lt;&gt;0,F205*G$4/100," ")),IF(F205&lt;&gt;0,F205*G$2/(100+G$2)," "))</f>
        <v> </v>
      </c>
      <c r="H205" s="2" t="str">
        <f aca="false">IF((F205&lt;&gt;0),F205-G205," ")</f>
        <v> </v>
      </c>
      <c r="L205" s="7" t="str">
        <f aca="false">IF(F205&lt;&gt;0,F205-K205," ")</f>
        <v> </v>
      </c>
      <c r="M205" s="8" t="str">
        <f aca="false">IF((F205-K205)&lt;&gt;0,M$1-A205," ")</f>
        <v> </v>
      </c>
    </row>
    <row r="206" customFormat="false" ht="12" hidden="false" customHeight="false" outlineLevel="0" collapsed="false">
      <c r="G206" s="2" t="str">
        <f aca="false">IF(G$4&gt;0,(IF(F206&lt;&gt;0,F206*G$4/100," ")),IF(F206&lt;&gt;0,F206*G$2/(100+G$2)," "))</f>
        <v> </v>
      </c>
      <c r="H206" s="2" t="str">
        <f aca="false">IF((F206&lt;&gt;0),F206-G206," ")</f>
        <v> </v>
      </c>
      <c r="L206" s="7" t="str">
        <f aca="false">IF(F206&lt;&gt;0,F206-K206," ")</f>
        <v> </v>
      </c>
      <c r="M206" s="8" t="str">
        <f aca="false">IF((F206-K206)&lt;&gt;0,M$1-A206," ")</f>
        <v> </v>
      </c>
    </row>
    <row r="207" customFormat="false" ht="12" hidden="false" customHeight="false" outlineLevel="0" collapsed="false">
      <c r="G207" s="2" t="str">
        <f aca="false">IF(G$4&gt;0,(IF(F207&lt;&gt;0,F207*G$4/100," ")),IF(F207&lt;&gt;0,F207*G$2/(100+G$2)," "))</f>
        <v> </v>
      </c>
      <c r="H207" s="2" t="str">
        <f aca="false">IF((F207&lt;&gt;0),F207-G207," ")</f>
        <v> </v>
      </c>
      <c r="L207" s="7" t="str">
        <f aca="false">IF(F207&lt;&gt;0,F207-K207," ")</f>
        <v> </v>
      </c>
      <c r="M207" s="8" t="str">
        <f aca="false">IF((F207-K207)&lt;&gt;0,M$1-A207," ")</f>
        <v> </v>
      </c>
    </row>
    <row r="208" customFormat="false" ht="12" hidden="false" customHeight="false" outlineLevel="0" collapsed="false">
      <c r="G208" s="2" t="str">
        <f aca="false">IF(G$4&gt;0,(IF(F208&lt;&gt;0,F208*G$4/100," ")),IF(F208&lt;&gt;0,F208*G$2/(100+G$2)," "))</f>
        <v> </v>
      </c>
      <c r="H208" s="2" t="str">
        <f aca="false">IF((F208&lt;&gt;0),F208-G208," ")</f>
        <v> </v>
      </c>
      <c r="L208" s="7" t="str">
        <f aca="false">IF(F208&lt;&gt;0,F208-K208," ")</f>
        <v> </v>
      </c>
      <c r="M208" s="8" t="str">
        <f aca="false">IF((F208-K208)&lt;&gt;0,M$1-A208," ")</f>
        <v> </v>
      </c>
    </row>
    <row r="209" customFormat="false" ht="12" hidden="false" customHeight="false" outlineLevel="0" collapsed="false">
      <c r="G209" s="2" t="str">
        <f aca="false">IF(G$4&gt;0,(IF(F209&lt;&gt;0,F209*G$4/100," ")),IF(F209&lt;&gt;0,F209*G$2/(100+G$2)," "))</f>
        <v> </v>
      </c>
      <c r="H209" s="2" t="str">
        <f aca="false">IF((F209&lt;&gt;0),F209-G209," ")</f>
        <v> </v>
      </c>
      <c r="L209" s="7" t="str">
        <f aca="false">IF(F209&lt;&gt;0,F209-K209," ")</f>
        <v> </v>
      </c>
      <c r="M209" s="8" t="str">
        <f aca="false">IF((F209-K209)&lt;&gt;0,M$1-A209," ")</f>
        <v> </v>
      </c>
    </row>
    <row r="210" customFormat="false" ht="12" hidden="false" customHeight="false" outlineLevel="0" collapsed="false">
      <c r="G210" s="2" t="str">
        <f aca="false">IF(G$4&gt;0,(IF(F210&lt;&gt;0,F210*G$4/100," ")),IF(F210&lt;&gt;0,F210*G$2/(100+G$2)," "))</f>
        <v> </v>
      </c>
      <c r="H210" s="2" t="str">
        <f aca="false">IF((F210&lt;&gt;0),F210-G210," ")</f>
        <v> </v>
      </c>
      <c r="L210" s="7" t="str">
        <f aca="false">IF(F210&lt;&gt;0,F210-K210," ")</f>
        <v> </v>
      </c>
      <c r="M210" s="8" t="str">
        <f aca="false">IF((F210-K210)&lt;&gt;0,M$1-A210," ")</f>
        <v> </v>
      </c>
    </row>
    <row r="211" customFormat="false" ht="12" hidden="false" customHeight="false" outlineLevel="0" collapsed="false">
      <c r="G211" s="2" t="str">
        <f aca="false">IF(G$4&gt;0,(IF(F211&lt;&gt;0,F211*G$4/100," ")),IF(F211&lt;&gt;0,F211*G$2/(100+G$2)," "))</f>
        <v> </v>
      </c>
      <c r="H211" s="2" t="str">
        <f aca="false">IF((F211&lt;&gt;0),F211-G211," ")</f>
        <v> </v>
      </c>
      <c r="L211" s="7" t="str">
        <f aca="false">IF(F211&lt;&gt;0,F211-K211," ")</f>
        <v> </v>
      </c>
      <c r="M211" s="8" t="str">
        <f aca="false">IF((F211-K211)&lt;&gt;0,M$1-A211," ")</f>
        <v> </v>
      </c>
    </row>
    <row r="212" customFormat="false" ht="12" hidden="false" customHeight="false" outlineLevel="0" collapsed="false">
      <c r="G212" s="2" t="str">
        <f aca="false">IF(G$4&gt;0,(IF(F212&lt;&gt;0,F212*G$4/100," ")),IF(F212&lt;&gt;0,F212*G$2/(100+G$2)," "))</f>
        <v> </v>
      </c>
      <c r="H212" s="2" t="str">
        <f aca="false">IF((F212&lt;&gt;0),F212-G212," ")</f>
        <v> </v>
      </c>
      <c r="L212" s="7" t="str">
        <f aca="false">IF(F212&lt;&gt;0,F212-K212," ")</f>
        <v> </v>
      </c>
      <c r="M212" s="8" t="str">
        <f aca="false">IF((F212-K212)&lt;&gt;0,M$1-A212," ")</f>
        <v> </v>
      </c>
    </row>
    <row r="213" customFormat="false" ht="12" hidden="false" customHeight="false" outlineLevel="0" collapsed="false">
      <c r="G213" s="2" t="str">
        <f aca="false">IF(G$4&gt;0,(IF(F213&lt;&gt;0,F213*G$4/100," ")),IF(F213&lt;&gt;0,F213*G$2/(100+G$2)," "))</f>
        <v> </v>
      </c>
      <c r="H213" s="2" t="str">
        <f aca="false">IF((F213&lt;&gt;0),F213-G213," ")</f>
        <v> </v>
      </c>
      <c r="L213" s="7" t="str">
        <f aca="false">IF(F213&lt;&gt;0,F213-K213," ")</f>
        <v> </v>
      </c>
      <c r="M213" s="8" t="str">
        <f aca="false">IF((F213-K213)&lt;&gt;0,M$1-A213," ")</f>
        <v> </v>
      </c>
    </row>
    <row r="214" customFormat="false" ht="12" hidden="false" customHeight="false" outlineLevel="0" collapsed="false">
      <c r="G214" s="2" t="str">
        <f aca="false">IF(G$4&gt;0,(IF(F214&lt;&gt;0,F214*G$4/100," ")),IF(F214&lt;&gt;0,F214*G$2/(100+G$2)," "))</f>
        <v> </v>
      </c>
      <c r="H214" s="2" t="str">
        <f aca="false">IF((F214&lt;&gt;0),F214-G214," ")</f>
        <v> </v>
      </c>
      <c r="L214" s="7" t="str">
        <f aca="false">IF(F214&lt;&gt;0,F214-K214," ")</f>
        <v> </v>
      </c>
      <c r="M214" s="8" t="str">
        <f aca="false">IF((F214-K214)&lt;&gt;0,M$1-A214," ")</f>
        <v> </v>
      </c>
    </row>
    <row r="215" customFormat="false" ht="12" hidden="false" customHeight="false" outlineLevel="0" collapsed="false">
      <c r="G215" s="2" t="str">
        <f aca="false">IF(G$4&gt;0,(IF(F215&lt;&gt;0,F215*G$4/100," ")),IF(F215&lt;&gt;0,F215*G$2/(100+G$2)," "))</f>
        <v> </v>
      </c>
      <c r="H215" s="2" t="str">
        <f aca="false">IF((F215&lt;&gt;0),F215-G215," ")</f>
        <v> </v>
      </c>
      <c r="L215" s="7" t="str">
        <f aca="false">IF(F215&lt;&gt;0,F215-K215," ")</f>
        <v> </v>
      </c>
      <c r="M215" s="8" t="str">
        <f aca="false">IF((F215-K215)&lt;&gt;0,M$1-A215," ")</f>
        <v> </v>
      </c>
    </row>
    <row r="216" customFormat="false" ht="12" hidden="false" customHeight="false" outlineLevel="0" collapsed="false">
      <c r="G216" s="2" t="str">
        <f aca="false">IF(G$4&gt;0,(IF(F216&lt;&gt;0,F216*G$4/100," ")),IF(F216&lt;&gt;0,F216*G$2/(100+G$2)," "))</f>
        <v> </v>
      </c>
      <c r="H216" s="2" t="str">
        <f aca="false">IF((F216&lt;&gt;0),F216-G216," ")</f>
        <v> </v>
      </c>
      <c r="L216" s="7" t="str">
        <f aca="false">IF(F216&lt;&gt;0,F216-K216," ")</f>
        <v> </v>
      </c>
      <c r="M216" s="8" t="str">
        <f aca="false">IF((F216-K216)&lt;&gt;0,M$1-A216," ")</f>
        <v> </v>
      </c>
    </row>
    <row r="217" customFormat="false" ht="12" hidden="false" customHeight="false" outlineLevel="0" collapsed="false">
      <c r="G217" s="2" t="str">
        <f aca="false">IF(G$4&gt;0,(IF(F217&lt;&gt;0,F217*G$4/100," ")),IF(F217&lt;&gt;0,F217*G$2/(100+G$2)," "))</f>
        <v> </v>
      </c>
      <c r="H217" s="2" t="str">
        <f aca="false">IF((F217&lt;&gt;0),F217-G217," ")</f>
        <v> </v>
      </c>
      <c r="L217" s="7" t="str">
        <f aca="false">IF(F217&lt;&gt;0,F217-K217," ")</f>
        <v> </v>
      </c>
      <c r="M217" s="8" t="str">
        <f aca="false">IF((F217-K217)&lt;&gt;0,M$1-A217," ")</f>
        <v> </v>
      </c>
    </row>
    <row r="218" customFormat="false" ht="12" hidden="false" customHeight="false" outlineLevel="0" collapsed="false">
      <c r="G218" s="2" t="str">
        <f aca="false">IF(G$4&gt;0,(IF(F218&lt;&gt;0,F218*G$4/100," ")),IF(F218&lt;&gt;0,F218*G$2/(100+G$2)," "))</f>
        <v> </v>
      </c>
      <c r="H218" s="2" t="str">
        <f aca="false">IF((F218&lt;&gt;0),F218-G218," ")</f>
        <v> </v>
      </c>
      <c r="L218" s="7" t="str">
        <f aca="false">IF(F218&lt;&gt;0,F218-K218," ")</f>
        <v> </v>
      </c>
      <c r="M218" s="8" t="str">
        <f aca="false">IF((F218-K218)&lt;&gt;0,M$1-A218," ")</f>
        <v> </v>
      </c>
    </row>
    <row r="219" customFormat="false" ht="12" hidden="false" customHeight="false" outlineLevel="0" collapsed="false">
      <c r="G219" s="2" t="str">
        <f aca="false">IF(G$4&gt;0,(IF(F219&lt;&gt;0,F219*G$4/100," ")),IF(F219&lt;&gt;0,F219*G$2/(100+G$2)," "))</f>
        <v> </v>
      </c>
      <c r="H219" s="2" t="str">
        <f aca="false">IF((F219&lt;&gt;0),F219-G219," ")</f>
        <v> </v>
      </c>
      <c r="L219" s="7" t="str">
        <f aca="false">IF(F219&lt;&gt;0,F219-K219," ")</f>
        <v> </v>
      </c>
      <c r="M219" s="8" t="str">
        <f aca="false">IF((F219-K219)&lt;&gt;0,M$1-A219," ")</f>
        <v> </v>
      </c>
    </row>
    <row r="220" customFormat="false" ht="12" hidden="false" customHeight="false" outlineLevel="0" collapsed="false">
      <c r="G220" s="2" t="str">
        <f aca="false">IF(G$4&gt;0,(IF(F220&lt;&gt;0,F220*G$4/100," ")),IF(F220&lt;&gt;0,F220*G$2/(100+G$2)," "))</f>
        <v> </v>
      </c>
      <c r="H220" s="2" t="str">
        <f aca="false">IF((F220&lt;&gt;0),F220-G220," ")</f>
        <v> </v>
      </c>
      <c r="L220" s="7" t="str">
        <f aca="false">IF(F220&lt;&gt;0,F220-K220," ")</f>
        <v> </v>
      </c>
      <c r="M220" s="8" t="str">
        <f aca="false">IF((F220-K220)&lt;&gt;0,M$1-A220," ")</f>
        <v> </v>
      </c>
    </row>
    <row r="221" customFormat="false" ht="12" hidden="false" customHeight="false" outlineLevel="0" collapsed="false">
      <c r="G221" s="2" t="str">
        <f aca="false">IF(G$4&gt;0,(IF(F221&lt;&gt;0,F221*G$4/100," ")),IF(F221&lt;&gt;0,F221*G$2/(100+G$2)," "))</f>
        <v> </v>
      </c>
      <c r="H221" s="2" t="str">
        <f aca="false">IF((F221&lt;&gt;0),F221-G221," ")</f>
        <v> </v>
      </c>
      <c r="L221" s="7" t="str">
        <f aca="false">IF(F221&lt;&gt;0,F221-K221," ")</f>
        <v> </v>
      </c>
      <c r="M221" s="8" t="str">
        <f aca="false">IF((F221-K221)&lt;&gt;0,M$1-A221," ")</f>
        <v> </v>
      </c>
    </row>
    <row r="222" customFormat="false" ht="12" hidden="false" customHeight="false" outlineLevel="0" collapsed="false">
      <c r="G222" s="2" t="str">
        <f aca="false">IF(G$4&gt;0,(IF(F222&lt;&gt;0,F222*G$4/100," ")),IF(F222&lt;&gt;0,F222*G$2/(100+G$2)," "))</f>
        <v> </v>
      </c>
      <c r="H222" s="2" t="str">
        <f aca="false">IF((F222&lt;&gt;0),F222-G222," ")</f>
        <v> </v>
      </c>
      <c r="L222" s="7" t="str">
        <f aca="false">IF(F222&lt;&gt;0,F222-K222," ")</f>
        <v> </v>
      </c>
      <c r="M222" s="8" t="str">
        <f aca="false">IF((F222-K222)&lt;&gt;0,M$1-A222," ")</f>
        <v> </v>
      </c>
    </row>
    <row r="223" customFormat="false" ht="12" hidden="false" customHeight="false" outlineLevel="0" collapsed="false">
      <c r="G223" s="2" t="str">
        <f aca="false">IF(G$4&gt;0,(IF(F223&lt;&gt;0,F223*G$4/100," ")),IF(F223&lt;&gt;0,F223*G$2/(100+G$2)," "))</f>
        <v> </v>
      </c>
      <c r="H223" s="2" t="str">
        <f aca="false">IF((F223&lt;&gt;0),F223-G223," ")</f>
        <v> </v>
      </c>
      <c r="L223" s="7" t="str">
        <f aca="false">IF(F223&lt;&gt;0,F223-K223," ")</f>
        <v> </v>
      </c>
      <c r="M223" s="8" t="str">
        <f aca="false">IF((F223-K223)&lt;&gt;0,M$1-A223," ")</f>
        <v> </v>
      </c>
    </row>
    <row r="224" customFormat="false" ht="12" hidden="false" customHeight="false" outlineLevel="0" collapsed="false">
      <c r="G224" s="2" t="str">
        <f aca="false">IF(G$4&gt;0,(IF(F224&lt;&gt;0,F224*G$4/100," ")),IF(F224&lt;&gt;0,F224*G$2/(100+G$2)," "))</f>
        <v> </v>
      </c>
      <c r="H224" s="2" t="str">
        <f aca="false">IF((F224&lt;&gt;0),F224-G224," ")</f>
        <v> </v>
      </c>
      <c r="L224" s="7" t="str">
        <f aca="false">IF(F224&lt;&gt;0,F224-K224," ")</f>
        <v> </v>
      </c>
      <c r="M224" s="8" t="str">
        <f aca="false">IF((F224-K224)&lt;&gt;0,M$1-A224," ")</f>
        <v> </v>
      </c>
    </row>
    <row r="225" customFormat="false" ht="12" hidden="false" customHeight="false" outlineLevel="0" collapsed="false">
      <c r="G225" s="2" t="str">
        <f aca="false">IF(G$4&gt;0,(IF(F225&lt;&gt;0,F225*G$4/100," ")),IF(F225&lt;&gt;0,F225*G$2/(100+G$2)," "))</f>
        <v> </v>
      </c>
      <c r="H225" s="2" t="str">
        <f aca="false">IF((F225&lt;&gt;0),F225-G225," ")</f>
        <v> </v>
      </c>
      <c r="L225" s="7" t="str">
        <f aca="false">IF(F225&lt;&gt;0,F225-K225," ")</f>
        <v> </v>
      </c>
      <c r="M225" s="8" t="str">
        <f aca="false">IF((F225-K225)&lt;&gt;0,M$1-A225," ")</f>
        <v> </v>
      </c>
    </row>
    <row r="226" customFormat="false" ht="12" hidden="false" customHeight="false" outlineLevel="0" collapsed="false">
      <c r="G226" s="2" t="str">
        <f aca="false">IF(G$4&gt;0,(IF(F226&lt;&gt;0,F226*G$4/100," ")),IF(F226&lt;&gt;0,F226*G$2/(100+G$2)," "))</f>
        <v> </v>
      </c>
      <c r="H226" s="2" t="str">
        <f aca="false">IF((F226&lt;&gt;0),F226-G226," ")</f>
        <v> </v>
      </c>
      <c r="L226" s="7" t="str">
        <f aca="false">IF(F226&lt;&gt;0,F226-K226," ")</f>
        <v> </v>
      </c>
      <c r="M226" s="8" t="str">
        <f aca="false">IF((F226-K226)&lt;&gt;0,M$1-A226," ")</f>
        <v> </v>
      </c>
    </row>
    <row r="227" customFormat="false" ht="12" hidden="false" customHeight="false" outlineLevel="0" collapsed="false">
      <c r="G227" s="2" t="str">
        <f aca="false">IF(G$4&gt;0,(IF(F227&lt;&gt;0,F227*G$4/100," ")),IF(F227&lt;&gt;0,F227*G$2/(100+G$2)," "))</f>
        <v> </v>
      </c>
      <c r="H227" s="2" t="str">
        <f aca="false">IF((F227&lt;&gt;0),F227-G227," ")</f>
        <v> </v>
      </c>
      <c r="L227" s="7" t="str">
        <f aca="false">IF(F227&lt;&gt;0,F227-K227," ")</f>
        <v> </v>
      </c>
      <c r="M227" s="8" t="str">
        <f aca="false">IF((F227-K227)&lt;&gt;0,M$1-A227," ")</f>
        <v> </v>
      </c>
    </row>
    <row r="228" customFormat="false" ht="12" hidden="false" customHeight="false" outlineLevel="0" collapsed="false">
      <c r="G228" s="2" t="str">
        <f aca="false">IF(G$4&gt;0,(IF(F228&lt;&gt;0,F228*G$4/100," ")),IF(F228&lt;&gt;0,F228*G$2/(100+G$2)," "))</f>
        <v> </v>
      </c>
      <c r="H228" s="2" t="str">
        <f aca="false">IF((F228&lt;&gt;0),F228-G228," ")</f>
        <v> </v>
      </c>
      <c r="L228" s="7" t="str">
        <f aca="false">IF(F228&lt;&gt;0,F228-K228," ")</f>
        <v> </v>
      </c>
      <c r="M228" s="8" t="str">
        <f aca="false">IF((F228-K228)&lt;&gt;0,M$1-A228," ")</f>
        <v> </v>
      </c>
    </row>
    <row r="229" customFormat="false" ht="12" hidden="false" customHeight="false" outlineLevel="0" collapsed="false">
      <c r="G229" s="2" t="str">
        <f aca="false">IF(G$4&gt;0,(IF(F229&lt;&gt;0,F229*G$4/100," ")),IF(F229&lt;&gt;0,F229*G$2/(100+G$2)," "))</f>
        <v> </v>
      </c>
      <c r="H229" s="2" t="str">
        <f aca="false">IF((F229&lt;&gt;0),F229-G229," ")</f>
        <v> </v>
      </c>
      <c r="L229" s="7" t="str">
        <f aca="false">IF(F229&lt;&gt;0,F229-K229," ")</f>
        <v> </v>
      </c>
      <c r="M229" s="8" t="str">
        <f aca="false">IF((F229-K229)&lt;&gt;0,M$1-A229," ")</f>
        <v> </v>
      </c>
    </row>
    <row r="230" customFormat="false" ht="12" hidden="false" customHeight="false" outlineLevel="0" collapsed="false">
      <c r="G230" s="2" t="str">
        <f aca="false">IF(G$4&gt;0,(IF(F230&lt;&gt;0,F230*G$4/100," ")),IF(F230&lt;&gt;0,F230*G$2/(100+G$2)," "))</f>
        <v> </v>
      </c>
      <c r="H230" s="2" t="str">
        <f aca="false">IF((F230&lt;&gt;0),F230-G230," ")</f>
        <v> </v>
      </c>
      <c r="L230" s="7" t="str">
        <f aca="false">IF(F230&lt;&gt;0,F230-K230," ")</f>
        <v> </v>
      </c>
      <c r="M230" s="8" t="str">
        <f aca="false">IF((F230-K230)&lt;&gt;0,M$1-A230," ")</f>
        <v> </v>
      </c>
    </row>
    <row r="231" customFormat="false" ht="12" hidden="false" customHeight="false" outlineLevel="0" collapsed="false">
      <c r="G231" s="2" t="str">
        <f aca="false">IF(G$4&gt;0,(IF(F231&lt;&gt;0,F231*G$4/100," ")),IF(F231&lt;&gt;0,F231*G$2/(100+G$2)," "))</f>
        <v> </v>
      </c>
      <c r="H231" s="2" t="str">
        <f aca="false">IF((F231&lt;&gt;0),F231-G231," ")</f>
        <v> </v>
      </c>
      <c r="L231" s="7" t="str">
        <f aca="false">IF(F231&lt;&gt;0,F231-K231," ")</f>
        <v> </v>
      </c>
      <c r="M231" s="8" t="str">
        <f aca="false">IF((F231-K231)&lt;&gt;0,M$1-A231," ")</f>
        <v> </v>
      </c>
    </row>
    <row r="232" customFormat="false" ht="12" hidden="false" customHeight="false" outlineLevel="0" collapsed="false">
      <c r="G232" s="2" t="str">
        <f aca="false">IF(G$4&gt;0,(IF(F232&lt;&gt;0,F232*G$4/100," ")),IF(F232&lt;&gt;0,F232*G$2/(100+G$2)," "))</f>
        <v> </v>
      </c>
      <c r="H232" s="2" t="str">
        <f aca="false">IF((F232&lt;&gt;0),F232-G232," ")</f>
        <v> </v>
      </c>
      <c r="L232" s="7" t="str">
        <f aca="false">IF(F232&lt;&gt;0,F232-K232," ")</f>
        <v> </v>
      </c>
      <c r="M232" s="8" t="str">
        <f aca="false">IF((F232-K232)&lt;&gt;0,M$1-A232," ")</f>
        <v> </v>
      </c>
    </row>
    <row r="233" customFormat="false" ht="12" hidden="false" customHeight="false" outlineLevel="0" collapsed="false">
      <c r="G233" s="2" t="str">
        <f aca="false">IF(G$4&gt;0,(IF(F233&lt;&gt;0,F233*G$4/100," ")),IF(F233&lt;&gt;0,F233*G$2/(100+G$2)," "))</f>
        <v> </v>
      </c>
      <c r="H233" s="2" t="str">
        <f aca="false">IF((F233&lt;&gt;0),F233-G233," ")</f>
        <v> </v>
      </c>
      <c r="L233" s="7" t="str">
        <f aca="false">IF(F233&lt;&gt;0,F233-K233," ")</f>
        <v> </v>
      </c>
      <c r="M233" s="8" t="str">
        <f aca="false">IF((F233-K233)&lt;&gt;0,M$1-A233," ")</f>
        <v> </v>
      </c>
    </row>
    <row r="234" customFormat="false" ht="12" hidden="false" customHeight="false" outlineLevel="0" collapsed="false">
      <c r="G234" s="2" t="str">
        <f aca="false">IF(G$4&gt;0,(IF(F234&lt;&gt;0,F234*G$4/100," ")),IF(F234&lt;&gt;0,F234*G$2/(100+G$2)," "))</f>
        <v> </v>
      </c>
      <c r="H234" s="2" t="str">
        <f aca="false">IF((F234&lt;&gt;0),F234-G234," ")</f>
        <v> </v>
      </c>
      <c r="L234" s="7" t="str">
        <f aca="false">IF(F234&lt;&gt;0,F234-K234," ")</f>
        <v> </v>
      </c>
      <c r="M234" s="8" t="str">
        <f aca="false">IF((F234-K234)&lt;&gt;0,M$1-A234," ")</f>
        <v> </v>
      </c>
    </row>
    <row r="235" customFormat="false" ht="12" hidden="false" customHeight="false" outlineLevel="0" collapsed="false">
      <c r="G235" s="2" t="str">
        <f aca="false">IF(G$4&gt;0,(IF(F235&lt;&gt;0,F235*G$4/100," ")),IF(F235&lt;&gt;0,F235*G$2/(100+G$2)," "))</f>
        <v> </v>
      </c>
      <c r="H235" s="2" t="str">
        <f aca="false">IF((F235&lt;&gt;0),F235-G235," ")</f>
        <v> </v>
      </c>
      <c r="L235" s="7" t="str">
        <f aca="false">IF(F235&lt;&gt;0,F235-K235," ")</f>
        <v> </v>
      </c>
      <c r="M235" s="8" t="str">
        <f aca="false">IF((F235-K235)&lt;&gt;0,M$1-A235," ")</f>
        <v> </v>
      </c>
    </row>
    <row r="236" customFormat="false" ht="12" hidden="false" customHeight="false" outlineLevel="0" collapsed="false">
      <c r="G236" s="2" t="str">
        <f aca="false">IF(G$4&gt;0,(IF(F236&lt;&gt;0,F236*G$4/100," ")),IF(F236&lt;&gt;0,F236*G$2/(100+G$2)," "))</f>
        <v> </v>
      </c>
      <c r="H236" s="2" t="str">
        <f aca="false">IF((F236&lt;&gt;0),F236-G236," ")</f>
        <v> </v>
      </c>
      <c r="L236" s="7" t="str">
        <f aca="false">IF(F236&lt;&gt;0,F236-K236," ")</f>
        <v> </v>
      </c>
      <c r="M236" s="8" t="str">
        <f aca="false">IF((F236-K236)&lt;&gt;0,M$1-A236," ")</f>
        <v> </v>
      </c>
    </row>
    <row r="237" customFormat="false" ht="12" hidden="false" customHeight="false" outlineLevel="0" collapsed="false">
      <c r="G237" s="2" t="str">
        <f aca="false">IF(G$4&gt;0,(IF(F237&lt;&gt;0,F237*G$4/100," ")),IF(F237&lt;&gt;0,F237*G$2/(100+G$2)," "))</f>
        <v> </v>
      </c>
      <c r="H237" s="2" t="str">
        <f aca="false">IF((F237&lt;&gt;0),F237-G237," ")</f>
        <v> </v>
      </c>
      <c r="L237" s="7" t="str">
        <f aca="false">IF(F237&lt;&gt;0,F237-K237," ")</f>
        <v> </v>
      </c>
      <c r="M237" s="8" t="str">
        <f aca="false">IF((F237-K237)&lt;&gt;0,M$1-A237," ")</f>
        <v> </v>
      </c>
    </row>
    <row r="238" customFormat="false" ht="12" hidden="false" customHeight="false" outlineLevel="0" collapsed="false">
      <c r="G238" s="2" t="str">
        <f aca="false">IF(G$4&gt;0,(IF(F238&lt;&gt;0,F238*G$4/100," ")),IF(F238&lt;&gt;0,F238*G$2/(100+G$2)," "))</f>
        <v> </v>
      </c>
      <c r="H238" s="2" t="str">
        <f aca="false">IF((F238&lt;&gt;0),F238-G238," ")</f>
        <v> </v>
      </c>
      <c r="L238" s="7" t="str">
        <f aca="false">IF(F238&lt;&gt;0,F238-K238," ")</f>
        <v> </v>
      </c>
      <c r="M238" s="8" t="str">
        <f aca="false">IF((F238-K238)&lt;&gt;0,M$1-A238," ")</f>
        <v> </v>
      </c>
    </row>
    <row r="239" customFormat="false" ht="12" hidden="false" customHeight="false" outlineLevel="0" collapsed="false">
      <c r="G239" s="2" t="str">
        <f aca="false">IF(G$4&gt;0,(IF(F239&lt;&gt;0,F239*G$4/100," ")),IF(F239&lt;&gt;0,F239*G$2/(100+G$2)," "))</f>
        <v> </v>
      </c>
      <c r="H239" s="2" t="str">
        <f aca="false">IF((F239&lt;&gt;0),F239-G239," ")</f>
        <v> </v>
      </c>
      <c r="L239" s="7" t="str">
        <f aca="false">IF(F239&lt;&gt;0,F239-K239," ")</f>
        <v> </v>
      </c>
      <c r="M239" s="8" t="str">
        <f aca="false">IF((F239-K239)&lt;&gt;0,M$1-A239," ")</f>
        <v> </v>
      </c>
    </row>
    <row r="240" customFormat="false" ht="12" hidden="false" customHeight="false" outlineLevel="0" collapsed="false">
      <c r="G240" s="2" t="str">
        <f aca="false">IF(G$4&gt;0,(IF(F240&lt;&gt;0,F240*G$4/100," ")),IF(F240&lt;&gt;0,F240*G$2/(100+G$2)," "))</f>
        <v> </v>
      </c>
      <c r="H240" s="2" t="str">
        <f aca="false">IF((F240&lt;&gt;0),F240-G240," ")</f>
        <v> </v>
      </c>
      <c r="L240" s="7" t="str">
        <f aca="false">IF(F240&lt;&gt;0,F240-K240," ")</f>
        <v> </v>
      </c>
      <c r="M240" s="8" t="str">
        <f aca="false">IF((F240-K240)&lt;&gt;0,M$1-A240," ")</f>
        <v> </v>
      </c>
    </row>
    <row r="241" customFormat="false" ht="12" hidden="false" customHeight="false" outlineLevel="0" collapsed="false">
      <c r="G241" s="2" t="str">
        <f aca="false">IF(G$4&gt;0,(IF(F241&lt;&gt;0,F241*G$4/100," ")),IF(F241&lt;&gt;0,F241*G$2/(100+G$2)," "))</f>
        <v> </v>
      </c>
      <c r="H241" s="2" t="str">
        <f aca="false">IF((F241&lt;&gt;0),F241-G241," ")</f>
        <v> </v>
      </c>
      <c r="L241" s="7" t="str">
        <f aca="false">IF(F241&lt;&gt;0,F241-K241," ")</f>
        <v> </v>
      </c>
      <c r="M241" s="8" t="str">
        <f aca="false">IF((F241-K241)&lt;&gt;0,M$1-A241," ")</f>
        <v> </v>
      </c>
    </row>
    <row r="242" customFormat="false" ht="12" hidden="false" customHeight="false" outlineLevel="0" collapsed="false">
      <c r="G242" s="2" t="str">
        <f aca="false">IF(G$4&gt;0,(IF(F242&lt;&gt;0,F242*G$4/100," ")),IF(F242&lt;&gt;0,F242*G$2/(100+G$2)," "))</f>
        <v> </v>
      </c>
      <c r="H242" s="2" t="str">
        <f aca="false">IF((F242&lt;&gt;0),F242-G242," ")</f>
        <v> </v>
      </c>
      <c r="L242" s="7" t="str">
        <f aca="false">IF(F242&lt;&gt;0,F242-K242," ")</f>
        <v> </v>
      </c>
      <c r="M242" s="8" t="str">
        <f aca="false">IF((F242-K242)&lt;&gt;0,M$1-A242," ")</f>
        <v> </v>
      </c>
    </row>
    <row r="243" customFormat="false" ht="12" hidden="false" customHeight="false" outlineLevel="0" collapsed="false">
      <c r="G243" s="2" t="str">
        <f aca="false">IF(G$4&gt;0,(IF(F243&lt;&gt;0,F243*G$4/100," ")),IF(F243&lt;&gt;0,F243*G$2/(100+G$2)," "))</f>
        <v> </v>
      </c>
      <c r="H243" s="2" t="str">
        <f aca="false">IF((F243&lt;&gt;0),F243-G243," ")</f>
        <v> </v>
      </c>
      <c r="L243" s="7" t="str">
        <f aca="false">IF(F243&lt;&gt;0,F243-K243," ")</f>
        <v> </v>
      </c>
      <c r="M243" s="8" t="str">
        <f aca="false">IF((F243-K243)&lt;&gt;0,M$1-A243," ")</f>
        <v> </v>
      </c>
    </row>
    <row r="244" customFormat="false" ht="12" hidden="false" customHeight="false" outlineLevel="0" collapsed="false">
      <c r="G244" s="2" t="str">
        <f aca="false">IF(G$4&gt;0,(IF(F244&lt;&gt;0,F244*G$4/100," ")),IF(F244&lt;&gt;0,F244*G$2/(100+G$2)," "))</f>
        <v> </v>
      </c>
      <c r="H244" s="2" t="str">
        <f aca="false">IF((F244&lt;&gt;0),F244-G244," ")</f>
        <v> </v>
      </c>
      <c r="L244" s="7" t="str">
        <f aca="false">IF(F244&lt;&gt;0,F244-K244," ")</f>
        <v> </v>
      </c>
      <c r="M244" s="8" t="str">
        <f aca="false">IF((F244-K244)&lt;&gt;0,M$1-A244," ")</f>
        <v> </v>
      </c>
    </row>
    <row r="245" customFormat="false" ht="12" hidden="false" customHeight="false" outlineLevel="0" collapsed="false">
      <c r="G245" s="2" t="str">
        <f aca="false">IF(G$4&gt;0,(IF(F245&lt;&gt;0,F245*G$4/100," ")),IF(F245&lt;&gt;0,F245*G$2/(100+G$2)," "))</f>
        <v> </v>
      </c>
      <c r="H245" s="2" t="str">
        <f aca="false">IF((F245&lt;&gt;0),F245-G245," ")</f>
        <v> </v>
      </c>
      <c r="L245" s="7" t="str">
        <f aca="false">IF(F245&lt;&gt;0,F245-K245," ")</f>
        <v> </v>
      </c>
      <c r="M245" s="8" t="str">
        <f aca="false">IF((F245-K245)&lt;&gt;0,M$1-A245," ")</f>
        <v> </v>
      </c>
    </row>
    <row r="246" customFormat="false" ht="12" hidden="false" customHeight="false" outlineLevel="0" collapsed="false">
      <c r="G246" s="2" t="str">
        <f aca="false">IF(G$4&gt;0,(IF(F246&lt;&gt;0,F246*G$4/100," ")),IF(F246&lt;&gt;0,F246*G$2/(100+G$2)," "))</f>
        <v> </v>
      </c>
      <c r="H246" s="2" t="str">
        <f aca="false">IF((F246&lt;&gt;0),F246-G246," ")</f>
        <v> </v>
      </c>
      <c r="L246" s="7" t="str">
        <f aca="false">IF(F246&lt;&gt;0,F246-K246," ")</f>
        <v> </v>
      </c>
      <c r="M246" s="8" t="str">
        <f aca="false">IF((F246-K246)&lt;&gt;0,M$1-A246," ")</f>
        <v> </v>
      </c>
    </row>
    <row r="247" customFormat="false" ht="12" hidden="false" customHeight="false" outlineLevel="0" collapsed="false">
      <c r="G247" s="2" t="str">
        <f aca="false">IF(G$4&gt;0,(IF(F247&lt;&gt;0,F247*G$4/100," ")),IF(F247&lt;&gt;0,F247*G$2/(100+G$2)," "))</f>
        <v> </v>
      </c>
      <c r="H247" s="2" t="str">
        <f aca="false">IF((F247&lt;&gt;0),F247-G247," ")</f>
        <v> </v>
      </c>
      <c r="L247" s="7" t="str">
        <f aca="false">IF(F247&lt;&gt;0,F247-K247," ")</f>
        <v> </v>
      </c>
      <c r="M247" s="8" t="str">
        <f aca="false">IF((F247-K247)&lt;&gt;0,M$1-A247," ")</f>
        <v> </v>
      </c>
    </row>
    <row r="248" customFormat="false" ht="12" hidden="false" customHeight="false" outlineLevel="0" collapsed="false">
      <c r="G248" s="2" t="str">
        <f aca="false">IF(G$4&gt;0,(IF(F248&lt;&gt;0,F248*G$4/100," ")),IF(F248&lt;&gt;0,F248*G$2/(100+G$2)," "))</f>
        <v> </v>
      </c>
      <c r="H248" s="2" t="str">
        <f aca="false">IF((F248&lt;&gt;0),F248-G248," ")</f>
        <v> </v>
      </c>
      <c r="L248" s="7" t="str">
        <f aca="false">IF(F248&lt;&gt;0,F248-K248," ")</f>
        <v> </v>
      </c>
      <c r="M248" s="8" t="str">
        <f aca="false">IF((F248-K248)&lt;&gt;0,M$1-A248," ")</f>
        <v> </v>
      </c>
    </row>
    <row r="249" customFormat="false" ht="12" hidden="false" customHeight="false" outlineLevel="0" collapsed="false">
      <c r="G249" s="2" t="str">
        <f aca="false">IF(G$4&gt;0,(IF(F249&lt;&gt;0,F249*G$4/100," ")),IF(F249&lt;&gt;0,F249*G$2/(100+G$2)," "))</f>
        <v> </v>
      </c>
      <c r="H249" s="2" t="str">
        <f aca="false">IF((F249&lt;&gt;0),F249-G249," ")</f>
        <v> </v>
      </c>
      <c r="L249" s="7" t="str">
        <f aca="false">IF(F249&lt;&gt;0,F249-K249," ")</f>
        <v> </v>
      </c>
      <c r="M249" s="8" t="str">
        <f aca="false">IF((F249-K249)&lt;&gt;0,M$1-A249," ")</f>
        <v> </v>
      </c>
    </row>
    <row r="250" customFormat="false" ht="12" hidden="false" customHeight="false" outlineLevel="0" collapsed="false">
      <c r="G250" s="2" t="str">
        <f aca="false">IF(G$4&gt;0,(IF(F250&lt;&gt;0,F250*G$4/100," ")),IF(F250&lt;&gt;0,F250*G$2/(100+G$2)," "))</f>
        <v> </v>
      </c>
      <c r="H250" s="2" t="str">
        <f aca="false">IF((F250&lt;&gt;0),F250-G250," ")</f>
        <v> </v>
      </c>
      <c r="L250" s="7" t="str">
        <f aca="false">IF(F250&lt;&gt;0,F250-K250," ")</f>
        <v> </v>
      </c>
      <c r="M250" s="8" t="str">
        <f aca="false">IF((F250-K250)&lt;&gt;0,M$1-A250," ")</f>
        <v> </v>
      </c>
    </row>
    <row r="251" customFormat="false" ht="12" hidden="false" customHeight="false" outlineLevel="0" collapsed="false">
      <c r="G251" s="2" t="str">
        <f aca="false">IF(G$4&gt;0,(IF(F251&lt;&gt;0,F251*G$4/100," ")),IF(F251&lt;&gt;0,F251*G$2/(100+G$2)," "))</f>
        <v> </v>
      </c>
      <c r="H251" s="2" t="str">
        <f aca="false">IF((F251&lt;&gt;0),F251-G251," ")</f>
        <v> </v>
      </c>
      <c r="L251" s="7" t="str">
        <f aca="false">IF(F251&lt;&gt;0,F251-K251," ")</f>
        <v> </v>
      </c>
      <c r="M251" s="8" t="str">
        <f aca="false">IF((F251-K251)&lt;&gt;0,M$1-A251," ")</f>
        <v> </v>
      </c>
    </row>
    <row r="252" customFormat="false" ht="12" hidden="false" customHeight="false" outlineLevel="0" collapsed="false">
      <c r="G252" s="2" t="str">
        <f aca="false">IF(G$4&gt;0,(IF(F252&lt;&gt;0,F252*G$4/100," ")),IF(F252&lt;&gt;0,F252*G$2/(100+G$2)," "))</f>
        <v> </v>
      </c>
      <c r="H252" s="2" t="str">
        <f aca="false">IF((F252&lt;&gt;0),F252-G252," ")</f>
        <v> </v>
      </c>
      <c r="L252" s="7" t="str">
        <f aca="false">IF(F252&lt;&gt;0,F252-K252," ")</f>
        <v> </v>
      </c>
      <c r="M252" s="8" t="str">
        <f aca="false">IF((F252-K252)&lt;&gt;0,M$1-A252," ")</f>
        <v> </v>
      </c>
    </row>
    <row r="253" customFormat="false" ht="12" hidden="false" customHeight="false" outlineLevel="0" collapsed="false">
      <c r="G253" s="2" t="str">
        <f aca="false">IF(G$4&gt;0,(IF(F253&lt;&gt;0,F253*G$4/100," ")),IF(F253&lt;&gt;0,F253*G$2/(100+G$2)," "))</f>
        <v> </v>
      </c>
      <c r="H253" s="2" t="str">
        <f aca="false">IF((F253&lt;&gt;0),F253-G253," ")</f>
        <v> </v>
      </c>
      <c r="L253" s="7" t="str">
        <f aca="false">IF(F253&lt;&gt;0,F253-K253," ")</f>
        <v> </v>
      </c>
      <c r="M253" s="8" t="str">
        <f aca="false">IF((F253-K253)&lt;&gt;0,M$1-A253," ")</f>
        <v> </v>
      </c>
    </row>
    <row r="254" customFormat="false" ht="12" hidden="false" customHeight="false" outlineLevel="0" collapsed="false">
      <c r="G254" s="2" t="str">
        <f aca="false">IF(G$4&gt;0,(IF(F254&lt;&gt;0,F254*G$4/100," ")),IF(F254&lt;&gt;0,F254*G$2/(100+G$2)," "))</f>
        <v> </v>
      </c>
      <c r="H254" s="2" t="str">
        <f aca="false">IF((F254&lt;&gt;0),F254-G254," ")</f>
        <v> </v>
      </c>
      <c r="L254" s="7" t="str">
        <f aca="false">IF(F254&lt;&gt;0,F254-K254," ")</f>
        <v> </v>
      </c>
      <c r="M254" s="8" t="str">
        <f aca="false">IF((F254-K254)&lt;&gt;0,M$1-A254," ")</f>
        <v> </v>
      </c>
    </row>
    <row r="255" customFormat="false" ht="12" hidden="false" customHeight="false" outlineLevel="0" collapsed="false">
      <c r="G255" s="2" t="str">
        <f aca="false">IF(G$4&gt;0,(IF(F255&lt;&gt;0,F255*G$4/100," ")),IF(F255&lt;&gt;0,F255*G$2/(100+G$2)," "))</f>
        <v> </v>
      </c>
      <c r="H255" s="2" t="str">
        <f aca="false">IF((F255&lt;&gt;0),F255-G255," ")</f>
        <v> </v>
      </c>
      <c r="L255" s="7" t="str">
        <f aca="false">IF(F255&lt;&gt;0,F255-K255," ")</f>
        <v> </v>
      </c>
      <c r="M255" s="8" t="str">
        <f aca="false">IF((F255-K255)&lt;&gt;0,M$1-A255," ")</f>
        <v> </v>
      </c>
    </row>
    <row r="256" customFormat="false" ht="12" hidden="false" customHeight="false" outlineLevel="0" collapsed="false">
      <c r="G256" s="2" t="str">
        <f aca="false">IF(G$4&gt;0,(IF(F256&lt;&gt;0,F256*G$4/100," ")),IF(F256&lt;&gt;0,F256*G$2/(100+G$2)," "))</f>
        <v> </v>
      </c>
      <c r="H256" s="2" t="str">
        <f aca="false">IF((F256&lt;&gt;0),F256-G256," ")</f>
        <v> </v>
      </c>
      <c r="L256" s="7" t="str">
        <f aca="false">IF(F256&lt;&gt;0,F256-K256," ")</f>
        <v> </v>
      </c>
      <c r="M256" s="8" t="str">
        <f aca="false">IF((F256-K256)&lt;&gt;0,M$1-A256," ")</f>
        <v> </v>
      </c>
    </row>
    <row r="257" customFormat="false" ht="12" hidden="false" customHeight="false" outlineLevel="0" collapsed="false">
      <c r="G257" s="2" t="str">
        <f aca="false">IF(G$4&gt;0,(IF(F257&lt;&gt;0,F257*G$4/100," ")),IF(F257&lt;&gt;0,F257*G$2/(100+G$2)," "))</f>
        <v> </v>
      </c>
      <c r="H257" s="2" t="str">
        <f aca="false">IF((F257&lt;&gt;0),F257-G257," ")</f>
        <v> </v>
      </c>
      <c r="L257" s="7" t="str">
        <f aca="false">IF(F257&lt;&gt;0,F257-K257," ")</f>
        <v> </v>
      </c>
      <c r="M257" s="8" t="str">
        <f aca="false">IF((F257-K257)&lt;&gt;0,M$1-A257," ")</f>
        <v> </v>
      </c>
    </row>
    <row r="258" customFormat="false" ht="12" hidden="false" customHeight="false" outlineLevel="0" collapsed="false">
      <c r="G258" s="2" t="str">
        <f aca="false">IF(G$4&gt;0,(IF(F258&lt;&gt;0,F258*G$4/100," ")),IF(F258&lt;&gt;0,F258*G$2/(100+G$2)," "))</f>
        <v> </v>
      </c>
      <c r="H258" s="2" t="str">
        <f aca="false">IF((F258&lt;&gt;0),F258-G258," ")</f>
        <v> </v>
      </c>
      <c r="L258" s="7" t="str">
        <f aca="false">IF(F258&lt;&gt;0,F258-K258," ")</f>
        <v> </v>
      </c>
      <c r="M258" s="8" t="str">
        <f aca="false">IF((F258-K258)&lt;&gt;0,M$1-A258," ")</f>
        <v> </v>
      </c>
    </row>
    <row r="259" customFormat="false" ht="12" hidden="false" customHeight="false" outlineLevel="0" collapsed="false">
      <c r="G259" s="2" t="str">
        <f aca="false">IF(G$4&gt;0,(IF(F259&lt;&gt;0,F259*G$4/100," ")),IF(F259&lt;&gt;0,F259*G$2/(100+G$2)," "))</f>
        <v> </v>
      </c>
      <c r="H259" s="2" t="str">
        <f aca="false">IF((F259&lt;&gt;0),F259-G259," ")</f>
        <v> </v>
      </c>
      <c r="L259" s="7" t="str">
        <f aca="false">IF(F259&lt;&gt;0,F259-K259," ")</f>
        <v> </v>
      </c>
      <c r="M259" s="8" t="str">
        <f aca="false">IF((F259-K259)&lt;&gt;0,M$1-A259," ")</f>
        <v> </v>
      </c>
    </row>
    <row r="260" customFormat="false" ht="12" hidden="false" customHeight="false" outlineLevel="0" collapsed="false">
      <c r="G260" s="2" t="str">
        <f aca="false">IF(G$4&gt;0,(IF(F260&lt;&gt;0,F260*G$4/100," ")),IF(F260&lt;&gt;0,F260*G$2/(100+G$2)," "))</f>
        <v> </v>
      </c>
      <c r="H260" s="2" t="str">
        <f aca="false">IF((F260&lt;&gt;0),F260-G260," ")</f>
        <v> </v>
      </c>
      <c r="L260" s="7" t="str">
        <f aca="false">IF(F260&lt;&gt;0,F260-K260," ")</f>
        <v> </v>
      </c>
      <c r="M260" s="8" t="str">
        <f aca="false">IF((F260-K260)&lt;&gt;0,M$1-A260," ")</f>
        <v> </v>
      </c>
    </row>
    <row r="261" customFormat="false" ht="12" hidden="false" customHeight="false" outlineLevel="0" collapsed="false">
      <c r="G261" s="2" t="str">
        <f aca="false">IF(G$4&gt;0,(IF(F261&lt;&gt;0,F261*G$4/100," ")),IF(F261&lt;&gt;0,F261*G$2/(100+G$2)," "))</f>
        <v> </v>
      </c>
      <c r="H261" s="2" t="str">
        <f aca="false">IF((F261&lt;&gt;0),F261-G261," ")</f>
        <v> </v>
      </c>
      <c r="L261" s="7" t="str">
        <f aca="false">IF(F261&lt;&gt;0,F261-K261," ")</f>
        <v> </v>
      </c>
      <c r="M261" s="8" t="str">
        <f aca="false">IF((F261-K261)&lt;&gt;0,M$1-A261," ")</f>
        <v> </v>
      </c>
    </row>
    <row r="262" customFormat="false" ht="12" hidden="false" customHeight="false" outlineLevel="0" collapsed="false">
      <c r="G262" s="2" t="str">
        <f aca="false">IF(G$4&gt;0,(IF(F262&lt;&gt;0,F262*G$4/100," ")),IF(F262&lt;&gt;0,F262*G$2/(100+G$2)," "))</f>
        <v> </v>
      </c>
      <c r="H262" s="2" t="str">
        <f aca="false">IF((F262&lt;&gt;0),F262-G262," ")</f>
        <v> </v>
      </c>
      <c r="L262" s="7" t="str">
        <f aca="false">IF(F262&lt;&gt;0,F262-K262," ")</f>
        <v> </v>
      </c>
      <c r="M262" s="8" t="str">
        <f aca="false">IF((F262-K262)&lt;&gt;0,M$1-A262," ")</f>
        <v> </v>
      </c>
    </row>
    <row r="263" customFormat="false" ht="12" hidden="false" customHeight="false" outlineLevel="0" collapsed="false">
      <c r="G263" s="2" t="str">
        <f aca="false">IF(G$4&gt;0,(IF(F263&lt;&gt;0,F263*G$4/100," ")),IF(F263&lt;&gt;0,F263*G$2/(100+G$2)," "))</f>
        <v> </v>
      </c>
      <c r="H263" s="2" t="str">
        <f aca="false">IF((F263&lt;&gt;0),F263-G263," ")</f>
        <v> </v>
      </c>
      <c r="L263" s="7" t="str">
        <f aca="false">IF(F263&lt;&gt;0,F263-K263," ")</f>
        <v> </v>
      </c>
      <c r="M263" s="8" t="str">
        <f aca="false">IF((F263-K263)&lt;&gt;0,M$1-A263," ")</f>
        <v> </v>
      </c>
    </row>
    <row r="264" customFormat="false" ht="12" hidden="false" customHeight="false" outlineLevel="0" collapsed="false">
      <c r="G264" s="2" t="str">
        <f aca="false">IF(G$4&gt;0,(IF(F264&lt;&gt;0,F264*G$4/100," ")),IF(F264&lt;&gt;0,F264*G$2/(100+G$2)," "))</f>
        <v> </v>
      </c>
      <c r="H264" s="2" t="str">
        <f aca="false">IF((F264&lt;&gt;0),F264-G264," ")</f>
        <v> </v>
      </c>
      <c r="L264" s="7" t="str">
        <f aca="false">IF(F264&lt;&gt;0,F264-K264," ")</f>
        <v> </v>
      </c>
      <c r="M264" s="8" t="str">
        <f aca="false">IF((F264-K264)&lt;&gt;0,M$1-A264," ")</f>
        <v> </v>
      </c>
    </row>
    <row r="265" customFormat="false" ht="12" hidden="false" customHeight="false" outlineLevel="0" collapsed="false">
      <c r="G265" s="2" t="str">
        <f aca="false">IF(G$4&gt;0,(IF(F265&lt;&gt;0,F265*G$4/100," ")),IF(F265&lt;&gt;0,F265*G$2/(100+G$2)," "))</f>
        <v> </v>
      </c>
      <c r="H265" s="2" t="str">
        <f aca="false">IF((F265&lt;&gt;0),F265-G265," ")</f>
        <v> </v>
      </c>
      <c r="L265" s="7" t="str">
        <f aca="false">IF(F265&lt;&gt;0,F265-K265," ")</f>
        <v> </v>
      </c>
      <c r="M265" s="8" t="str">
        <f aca="false">IF((F265-K265)&lt;&gt;0,M$1-A265," ")</f>
        <v> </v>
      </c>
    </row>
    <row r="266" customFormat="false" ht="12" hidden="false" customHeight="false" outlineLevel="0" collapsed="false">
      <c r="G266" s="2" t="str">
        <f aca="false">IF(G$4&gt;0,(IF(F266&lt;&gt;0,F266*G$4/100," ")),IF(F266&lt;&gt;0,F266*G$2/(100+G$2)," "))</f>
        <v> </v>
      </c>
      <c r="H266" s="2" t="str">
        <f aca="false">IF((F266&lt;&gt;0),F266-G266," ")</f>
        <v> </v>
      </c>
      <c r="L266" s="7" t="str">
        <f aca="false">IF(F266&lt;&gt;0,F266-K266," ")</f>
        <v> </v>
      </c>
      <c r="M266" s="8" t="str">
        <f aca="false">IF((F266-K266)&lt;&gt;0,M$1-A266," ")</f>
        <v> </v>
      </c>
    </row>
    <row r="267" customFormat="false" ht="12" hidden="false" customHeight="false" outlineLevel="0" collapsed="false">
      <c r="G267" s="2" t="str">
        <f aca="false">IF(G$4&gt;0,(IF(F267&lt;&gt;0,F267*G$4/100," ")),IF(F267&lt;&gt;0,F267*G$2/(100+G$2)," "))</f>
        <v> </v>
      </c>
      <c r="H267" s="2" t="str">
        <f aca="false">IF((F267&lt;&gt;0),F267-G267," ")</f>
        <v> </v>
      </c>
      <c r="L267" s="7" t="str">
        <f aca="false">IF(F267&lt;&gt;0,F267-K267," ")</f>
        <v> </v>
      </c>
      <c r="M267" s="8" t="str">
        <f aca="false">IF((F267-K267)&lt;&gt;0,M$1-A267," ")</f>
        <v> </v>
      </c>
    </row>
    <row r="268" customFormat="false" ht="12" hidden="false" customHeight="false" outlineLevel="0" collapsed="false">
      <c r="G268" s="2" t="str">
        <f aca="false">IF(G$4&gt;0,(IF(F268&lt;&gt;0,F268*G$4/100," ")),IF(F268&lt;&gt;0,F268*G$2/(100+G$2)," "))</f>
        <v> </v>
      </c>
      <c r="H268" s="2" t="str">
        <f aca="false">IF((F268&lt;&gt;0),F268-G268," ")</f>
        <v> </v>
      </c>
      <c r="L268" s="7" t="str">
        <f aca="false">IF(F268&lt;&gt;0,F268-K268," ")</f>
        <v> </v>
      </c>
      <c r="M268" s="8" t="str">
        <f aca="false">IF((F268-K268)&lt;&gt;0,M$1-A268," ")</f>
        <v> </v>
      </c>
    </row>
    <row r="269" customFormat="false" ht="12" hidden="false" customHeight="false" outlineLevel="0" collapsed="false">
      <c r="G269" s="2" t="str">
        <f aca="false">IF(G$4&gt;0,(IF(F269&lt;&gt;0,F269*G$4/100," ")),IF(F269&lt;&gt;0,F269*G$2/(100+G$2)," "))</f>
        <v> </v>
      </c>
      <c r="H269" s="2" t="str">
        <f aca="false">IF((F269&lt;&gt;0),F269-G269," ")</f>
        <v> </v>
      </c>
      <c r="L269" s="7" t="str">
        <f aca="false">IF(F269&lt;&gt;0,F269-K269," ")</f>
        <v> </v>
      </c>
      <c r="M269" s="8" t="str">
        <f aca="false">IF((F269-K269)&lt;&gt;0,M$1-A269," ")</f>
        <v> </v>
      </c>
    </row>
    <row r="270" customFormat="false" ht="12" hidden="false" customHeight="false" outlineLevel="0" collapsed="false">
      <c r="G270" s="2" t="str">
        <f aca="false">IF(G$4&gt;0,(IF(F270&lt;&gt;0,F270*G$4/100," ")),IF(F270&lt;&gt;0,F270*G$2/(100+G$2)," "))</f>
        <v> </v>
      </c>
      <c r="H270" s="2" t="str">
        <f aca="false">IF((F270&lt;&gt;0),F270-G270," ")</f>
        <v> </v>
      </c>
      <c r="L270" s="7" t="str">
        <f aca="false">IF(F270&lt;&gt;0,F270-K270," ")</f>
        <v> </v>
      </c>
      <c r="M270" s="8" t="str">
        <f aca="false">IF((F270-K270)&lt;&gt;0,M$1-A270," ")</f>
        <v> </v>
      </c>
    </row>
    <row r="271" customFormat="false" ht="12" hidden="false" customHeight="false" outlineLevel="0" collapsed="false">
      <c r="G271" s="2" t="str">
        <f aca="false">IF(G$4&gt;0,(IF(F271&lt;&gt;0,F271*G$4/100," ")),IF(F271&lt;&gt;0,F271*G$2/(100+G$2)," "))</f>
        <v> </v>
      </c>
      <c r="H271" s="2" t="str">
        <f aca="false">IF((F271&lt;&gt;0),F271-G271," ")</f>
        <v> </v>
      </c>
      <c r="L271" s="7" t="str">
        <f aca="false">IF(F271&lt;&gt;0,F271-K271," ")</f>
        <v> </v>
      </c>
      <c r="M271" s="8" t="str">
        <f aca="false">IF((F271-K271)&lt;&gt;0,M$1-A271," ")</f>
        <v> </v>
      </c>
    </row>
    <row r="272" customFormat="false" ht="12" hidden="false" customHeight="false" outlineLevel="0" collapsed="false">
      <c r="G272" s="2" t="str">
        <f aca="false">IF(G$4&gt;0,(IF(F272&lt;&gt;0,F272*G$4/100," ")),IF(F272&lt;&gt;0,F272*G$2/(100+G$2)," "))</f>
        <v> </v>
      </c>
      <c r="H272" s="2" t="str">
        <f aca="false">IF((F272&lt;&gt;0),F272-G272," ")</f>
        <v> </v>
      </c>
      <c r="L272" s="7" t="str">
        <f aca="false">IF(F272&lt;&gt;0,F272-K272," ")</f>
        <v> </v>
      </c>
      <c r="M272" s="8" t="str">
        <f aca="false">IF((F272-K272)&lt;&gt;0,M$1-A272," ")</f>
        <v> </v>
      </c>
    </row>
    <row r="273" customFormat="false" ht="12" hidden="false" customHeight="false" outlineLevel="0" collapsed="false">
      <c r="G273" s="2" t="str">
        <f aca="false">IF(G$4&gt;0,(IF(F273&lt;&gt;0,F273*G$4/100," ")),IF(F273&lt;&gt;0,F273*G$2/(100+G$2)," "))</f>
        <v> </v>
      </c>
      <c r="H273" s="2" t="str">
        <f aca="false">IF((F273&lt;&gt;0),F273-G273," ")</f>
        <v> </v>
      </c>
      <c r="L273" s="7" t="str">
        <f aca="false">IF(F273&lt;&gt;0,F273-K273," ")</f>
        <v> </v>
      </c>
      <c r="M273" s="8" t="str">
        <f aca="false">IF((F273-K273)&lt;&gt;0,M$1-A273," ")</f>
        <v> </v>
      </c>
    </row>
    <row r="274" customFormat="false" ht="12" hidden="false" customHeight="false" outlineLevel="0" collapsed="false">
      <c r="G274" s="2" t="str">
        <f aca="false">IF(G$4&gt;0,(IF(F274&lt;&gt;0,F274*G$4/100," ")),IF(F274&lt;&gt;0,F274*G$2/(100+G$2)," "))</f>
        <v> </v>
      </c>
      <c r="H274" s="2" t="str">
        <f aca="false">IF((F274&lt;&gt;0),F274-G274," ")</f>
        <v> </v>
      </c>
      <c r="L274" s="7" t="str">
        <f aca="false">IF(F274&lt;&gt;0,F274-K274," ")</f>
        <v> </v>
      </c>
      <c r="M274" s="8" t="str">
        <f aca="false">IF((F274-K274)&lt;&gt;0,M$1-A274," ")</f>
        <v> </v>
      </c>
    </row>
    <row r="275" customFormat="false" ht="12" hidden="false" customHeight="false" outlineLevel="0" collapsed="false">
      <c r="G275" s="2" t="str">
        <f aca="false">IF(G$4&gt;0,(IF(F275&lt;&gt;0,F275*G$4/100," ")),IF(F275&lt;&gt;0,F275*G$2/(100+G$2)," "))</f>
        <v> </v>
      </c>
      <c r="H275" s="2" t="str">
        <f aca="false">IF((F275&lt;&gt;0),F275-G275," ")</f>
        <v> </v>
      </c>
      <c r="L275" s="7" t="str">
        <f aca="false">IF(F275&lt;&gt;0,F275-K275," ")</f>
        <v> </v>
      </c>
      <c r="M275" s="8" t="str">
        <f aca="false">IF((F275-K275)&lt;&gt;0,M$1-A275," ")</f>
        <v> </v>
      </c>
    </row>
    <row r="276" customFormat="false" ht="12" hidden="false" customHeight="false" outlineLevel="0" collapsed="false">
      <c r="G276" s="2" t="str">
        <f aca="false">IF(G$4&gt;0,(IF(F276&lt;&gt;0,F276*G$4/100," ")),IF(F276&lt;&gt;0,F276*G$2/(100+G$2)," "))</f>
        <v> </v>
      </c>
      <c r="H276" s="2" t="str">
        <f aca="false">IF((F276&lt;&gt;0),F276-G276," ")</f>
        <v> </v>
      </c>
      <c r="L276" s="7" t="str">
        <f aca="false">IF(F276&lt;&gt;0,F276-K276," ")</f>
        <v> </v>
      </c>
      <c r="M276" s="8" t="str">
        <f aca="false">IF((F276-K276)&lt;&gt;0,M$1-A276," ")</f>
        <v> </v>
      </c>
    </row>
    <row r="277" customFormat="false" ht="12" hidden="false" customHeight="false" outlineLevel="0" collapsed="false">
      <c r="G277" s="2" t="str">
        <f aca="false">IF(G$4&gt;0,(IF(F277&lt;&gt;0,F277*G$4/100," ")),IF(F277&lt;&gt;0,F277*G$2/(100+G$2)," "))</f>
        <v> </v>
      </c>
      <c r="H277" s="2" t="str">
        <f aca="false">IF((F277&lt;&gt;0),F277-G277," ")</f>
        <v> </v>
      </c>
      <c r="L277" s="7" t="str">
        <f aca="false">IF(F277&lt;&gt;0,F277-K277," ")</f>
        <v> </v>
      </c>
      <c r="M277" s="8" t="str">
        <f aca="false">IF((F277-K277)&lt;&gt;0,M$1-A277," ")</f>
        <v> </v>
      </c>
    </row>
    <row r="278" customFormat="false" ht="12" hidden="false" customHeight="false" outlineLevel="0" collapsed="false">
      <c r="G278" s="2" t="str">
        <f aca="false">IF(G$4&gt;0,(IF(F278&lt;&gt;0,F278*G$4/100," ")),IF(F278&lt;&gt;0,F278*G$2/(100+G$2)," "))</f>
        <v> </v>
      </c>
      <c r="H278" s="2" t="str">
        <f aca="false">IF((F278&lt;&gt;0),F278-G278," ")</f>
        <v> </v>
      </c>
      <c r="L278" s="7" t="str">
        <f aca="false">IF(F278&lt;&gt;0,F278-K278," ")</f>
        <v> </v>
      </c>
      <c r="M278" s="8" t="str">
        <f aca="false">IF((F278-K278)&lt;&gt;0,M$1-A278," ")</f>
        <v> </v>
      </c>
    </row>
    <row r="279" customFormat="false" ht="12" hidden="false" customHeight="false" outlineLevel="0" collapsed="false">
      <c r="G279" s="2" t="str">
        <f aca="false">IF(G$4&gt;0,(IF(F279&lt;&gt;0,F279*G$4/100," ")),IF(F279&lt;&gt;0,F279*G$2/(100+G$2)," "))</f>
        <v> </v>
      </c>
      <c r="H279" s="2" t="str">
        <f aca="false">IF((F279&lt;&gt;0),F279-G279," ")</f>
        <v> </v>
      </c>
      <c r="L279" s="7" t="str">
        <f aca="false">IF(F279&lt;&gt;0,F279-K279," ")</f>
        <v> </v>
      </c>
      <c r="M279" s="8" t="str">
        <f aca="false">IF((F279-K279)&lt;&gt;0,M$1-A279," ")</f>
        <v> </v>
      </c>
    </row>
    <row r="280" customFormat="false" ht="12" hidden="false" customHeight="false" outlineLevel="0" collapsed="false">
      <c r="G280" s="2" t="str">
        <f aca="false">IF(G$4&gt;0,(IF(F280&lt;&gt;0,F280*G$4/100," ")),IF(F280&lt;&gt;0,F280*G$2/(100+G$2)," "))</f>
        <v> </v>
      </c>
      <c r="H280" s="2" t="str">
        <f aca="false">IF((F280&lt;&gt;0),F280-G280," ")</f>
        <v> </v>
      </c>
      <c r="L280" s="7" t="str">
        <f aca="false">IF(F280&lt;&gt;0,F280-K280," ")</f>
        <v> </v>
      </c>
      <c r="M280" s="8" t="str">
        <f aca="false">IF((F280-K280)&lt;&gt;0,M$1-A280," ")</f>
        <v> </v>
      </c>
    </row>
    <row r="281" customFormat="false" ht="12" hidden="false" customHeight="false" outlineLevel="0" collapsed="false">
      <c r="G281" s="2" t="str">
        <f aca="false">IF(G$4&gt;0,(IF(F281&lt;&gt;0,F281*G$4/100," ")),IF(F281&lt;&gt;0,F281*G$2/(100+G$2)," "))</f>
        <v> </v>
      </c>
      <c r="H281" s="2" t="str">
        <f aca="false">IF((F281&lt;&gt;0),F281-G281," ")</f>
        <v> </v>
      </c>
      <c r="L281" s="7" t="str">
        <f aca="false">IF(F281&lt;&gt;0,F281-K281," ")</f>
        <v> </v>
      </c>
      <c r="M281" s="8" t="str">
        <f aca="false">IF((F281-K281)&lt;&gt;0,M$1-A281," ")</f>
        <v> </v>
      </c>
    </row>
    <row r="282" customFormat="false" ht="12" hidden="false" customHeight="false" outlineLevel="0" collapsed="false">
      <c r="G282" s="2" t="str">
        <f aca="false">IF(G$4&gt;0,(IF(F282&lt;&gt;0,F282*G$4/100," ")),IF(F282&lt;&gt;0,F282*G$2/(100+G$2)," "))</f>
        <v> </v>
      </c>
      <c r="H282" s="2" t="str">
        <f aca="false">IF((F282&lt;&gt;0),F282-G282," ")</f>
        <v> </v>
      </c>
      <c r="L282" s="7" t="str">
        <f aca="false">IF(F282&lt;&gt;0,F282-K282," ")</f>
        <v> </v>
      </c>
      <c r="M282" s="8" t="str">
        <f aca="false">IF((F282-K282)&lt;&gt;0,M$1-A282," ")</f>
        <v> </v>
      </c>
    </row>
    <row r="283" customFormat="false" ht="12" hidden="false" customHeight="false" outlineLevel="0" collapsed="false">
      <c r="G283" s="2" t="str">
        <f aca="false">IF(G$4&gt;0,(IF(F283&lt;&gt;0,F283*G$4/100," ")),IF(F283&lt;&gt;0,F283*G$2/(100+G$2)," "))</f>
        <v> </v>
      </c>
      <c r="H283" s="2" t="str">
        <f aca="false">IF((F283&lt;&gt;0),F283-G283," ")</f>
        <v> </v>
      </c>
      <c r="L283" s="7" t="str">
        <f aca="false">IF(F283&lt;&gt;0,F283-K283," ")</f>
        <v> </v>
      </c>
      <c r="M283" s="8" t="str">
        <f aca="false">IF((F283-K283)&lt;&gt;0,M$1-A283," ")</f>
        <v> </v>
      </c>
    </row>
    <row r="284" customFormat="false" ht="12" hidden="false" customHeight="false" outlineLevel="0" collapsed="false">
      <c r="G284" s="2" t="str">
        <f aca="false">IF(G$4&gt;0,(IF(F284&lt;&gt;0,F284*G$4/100," ")),IF(F284&lt;&gt;0,F284*G$2/(100+G$2)," "))</f>
        <v> </v>
      </c>
      <c r="H284" s="2" t="str">
        <f aca="false">IF((F284&lt;&gt;0),F284-G284," ")</f>
        <v> </v>
      </c>
      <c r="L284" s="7" t="str">
        <f aca="false">IF(F284&lt;&gt;0,F284-K284," ")</f>
        <v> </v>
      </c>
      <c r="M284" s="8" t="str">
        <f aca="false">IF((F284-K284)&lt;&gt;0,M$1-A284," ")</f>
        <v> </v>
      </c>
    </row>
    <row r="285" customFormat="false" ht="12" hidden="false" customHeight="false" outlineLevel="0" collapsed="false">
      <c r="G285" s="2" t="str">
        <f aca="false">IF(G$4&gt;0,(IF(F285&lt;&gt;0,F285*G$4/100," ")),IF(F285&lt;&gt;0,F285*G$2/(100+G$2)," "))</f>
        <v> </v>
      </c>
      <c r="H285" s="2" t="str">
        <f aca="false">IF((F285&lt;&gt;0),F285-G285," ")</f>
        <v> </v>
      </c>
      <c r="L285" s="7" t="str">
        <f aca="false">IF(F285&lt;&gt;0,F285-K285," ")</f>
        <v> </v>
      </c>
      <c r="M285" s="8" t="str">
        <f aca="false">IF((F285-K285)&lt;&gt;0,M$1-A285," ")</f>
        <v> </v>
      </c>
    </row>
    <row r="286" customFormat="false" ht="12" hidden="false" customHeight="false" outlineLevel="0" collapsed="false">
      <c r="G286" s="2" t="str">
        <f aca="false">IF(G$4&gt;0,(IF(F286&lt;&gt;0,F286*G$4/100," ")),IF(F286&lt;&gt;0,F286*G$2/(100+G$2)," "))</f>
        <v> </v>
      </c>
      <c r="H286" s="2" t="str">
        <f aca="false">IF((F286&lt;&gt;0),F286-G286," ")</f>
        <v> </v>
      </c>
      <c r="L286" s="7" t="str">
        <f aca="false">IF(F286&lt;&gt;0,F286-K286," ")</f>
        <v> </v>
      </c>
      <c r="M286" s="8" t="str">
        <f aca="false">IF((F286-K286)&lt;&gt;0,M$1-A286," ")</f>
        <v> </v>
      </c>
    </row>
    <row r="287" customFormat="false" ht="12" hidden="false" customHeight="false" outlineLevel="0" collapsed="false">
      <c r="G287" s="2" t="str">
        <f aca="false">IF(G$4&gt;0,(IF(F287&lt;&gt;0,F287*G$4/100," ")),IF(F287&lt;&gt;0,F287*G$2/(100+G$2)," "))</f>
        <v> </v>
      </c>
      <c r="H287" s="2" t="str">
        <f aca="false">IF((F287&lt;&gt;0),F287-G287," ")</f>
        <v> </v>
      </c>
      <c r="L287" s="7" t="str">
        <f aca="false">IF(F287&lt;&gt;0,F287-K287," ")</f>
        <v> </v>
      </c>
      <c r="M287" s="8" t="str">
        <f aca="false">IF((F287-K287)&lt;&gt;0,M$1-A287," ")</f>
        <v> </v>
      </c>
    </row>
    <row r="288" customFormat="false" ht="12" hidden="false" customHeight="false" outlineLevel="0" collapsed="false">
      <c r="G288" s="2" t="str">
        <f aca="false">IF(G$4&gt;0,(IF(F288&lt;&gt;0,F288*G$4/100," ")),IF(F288&lt;&gt;0,F288*G$2/(100+G$2)," "))</f>
        <v> </v>
      </c>
      <c r="H288" s="2" t="str">
        <f aca="false">IF((F288&lt;&gt;0),F288-G288," ")</f>
        <v> </v>
      </c>
      <c r="L288" s="7" t="str">
        <f aca="false">IF(F288&lt;&gt;0,F288-K288," ")</f>
        <v> </v>
      </c>
      <c r="M288" s="8" t="str">
        <f aca="false">IF((F288-K288)&lt;&gt;0,M$1-A288," ")</f>
        <v> </v>
      </c>
    </row>
    <row r="289" customFormat="false" ht="12" hidden="false" customHeight="false" outlineLevel="0" collapsed="false">
      <c r="G289" s="2" t="str">
        <f aca="false">IF(G$4&gt;0,(IF(F289&lt;&gt;0,F289*G$4/100," ")),IF(F289&lt;&gt;0,F289*G$2/(100+G$2)," "))</f>
        <v> </v>
      </c>
      <c r="H289" s="2" t="str">
        <f aca="false">IF((F289&lt;&gt;0),F289-G289," ")</f>
        <v> </v>
      </c>
      <c r="L289" s="7" t="str">
        <f aca="false">IF(F289&lt;&gt;0,F289-K289," ")</f>
        <v> </v>
      </c>
      <c r="M289" s="8" t="str">
        <f aca="false">IF((F289-K289)&lt;&gt;0,M$1-A289," ")</f>
        <v> </v>
      </c>
    </row>
    <row r="290" customFormat="false" ht="12" hidden="false" customHeight="false" outlineLevel="0" collapsed="false">
      <c r="G290" s="2" t="str">
        <f aca="false">IF(G$4&gt;0,(IF(F290&lt;&gt;0,F290*G$4/100," ")),IF(F290&lt;&gt;0,F290*G$2/(100+G$2)," "))</f>
        <v> </v>
      </c>
      <c r="H290" s="2" t="str">
        <f aca="false">IF((F290&lt;&gt;0),F290-G290," ")</f>
        <v> </v>
      </c>
      <c r="L290" s="7" t="str">
        <f aca="false">IF(F290&lt;&gt;0,F290-K290," ")</f>
        <v> </v>
      </c>
      <c r="M290" s="8" t="str">
        <f aca="false">IF((F290-K290)&lt;&gt;0,M$1-A290," ")</f>
        <v> </v>
      </c>
    </row>
    <row r="291" customFormat="false" ht="12" hidden="false" customHeight="false" outlineLevel="0" collapsed="false">
      <c r="G291" s="2" t="str">
        <f aca="false">IF(G$4&gt;0,(IF(F291&lt;&gt;0,F291*G$4/100," ")),IF(F291&lt;&gt;0,F291*G$2/(100+G$2)," "))</f>
        <v> </v>
      </c>
      <c r="H291" s="2" t="str">
        <f aca="false">IF((F291&lt;&gt;0),F291-G291," ")</f>
        <v> </v>
      </c>
      <c r="L291" s="7" t="str">
        <f aca="false">IF(F291&lt;&gt;0,F291-K291," ")</f>
        <v> </v>
      </c>
      <c r="M291" s="8" t="str">
        <f aca="false">IF((F291-K291)&lt;&gt;0,M$1-A291," ")</f>
        <v> </v>
      </c>
    </row>
    <row r="292" customFormat="false" ht="12" hidden="false" customHeight="false" outlineLevel="0" collapsed="false">
      <c r="G292" s="2" t="str">
        <f aca="false">IF(G$4&gt;0,(IF(F292&lt;&gt;0,F292*G$4/100," ")),IF(F292&lt;&gt;0,F292*G$2/(100+G$2)," "))</f>
        <v> </v>
      </c>
      <c r="H292" s="2" t="str">
        <f aca="false">IF((F292&lt;&gt;0),F292-G292," ")</f>
        <v> </v>
      </c>
      <c r="L292" s="7" t="str">
        <f aca="false">IF(F292&lt;&gt;0,F292-K292," ")</f>
        <v> </v>
      </c>
      <c r="M292" s="8" t="str">
        <f aca="false">IF((F292-K292)&lt;&gt;0,M$1-A292," ")</f>
        <v> </v>
      </c>
    </row>
    <row r="293" customFormat="false" ht="12" hidden="false" customHeight="false" outlineLevel="0" collapsed="false">
      <c r="G293" s="2" t="str">
        <f aca="false">IF(G$4&gt;0,(IF(F293&lt;&gt;0,F293*G$4/100," ")),IF(F293&lt;&gt;0,F293*G$2/(100+G$2)," "))</f>
        <v> </v>
      </c>
      <c r="H293" s="2" t="str">
        <f aca="false">IF((F293&lt;&gt;0),F293-G293," ")</f>
        <v> </v>
      </c>
      <c r="L293" s="7" t="str">
        <f aca="false">IF(F293&lt;&gt;0,F293-K293," ")</f>
        <v> </v>
      </c>
      <c r="M293" s="8" t="str">
        <f aca="false">IF((F293-K293)&lt;&gt;0,M$1-A293," ")</f>
        <v> </v>
      </c>
    </row>
    <row r="294" customFormat="false" ht="12" hidden="false" customHeight="false" outlineLevel="0" collapsed="false">
      <c r="G294" s="2" t="str">
        <f aca="false">IF(G$4&gt;0,(IF(F294&lt;&gt;0,F294*G$4/100," ")),IF(F294&lt;&gt;0,F294*G$2/(100+G$2)," "))</f>
        <v> </v>
      </c>
      <c r="H294" s="2" t="str">
        <f aca="false">IF((F294&lt;&gt;0),F294-G294," ")</f>
        <v> </v>
      </c>
      <c r="L294" s="7" t="str">
        <f aca="false">IF(F294&lt;&gt;0,F294-K294," ")</f>
        <v> </v>
      </c>
      <c r="M294" s="8" t="str">
        <f aca="false">IF((F294-K294)&lt;&gt;0,M$1-A294," ")</f>
        <v> </v>
      </c>
    </row>
    <row r="295" customFormat="false" ht="12" hidden="false" customHeight="false" outlineLevel="0" collapsed="false">
      <c r="G295" s="2" t="str">
        <f aca="false">IF(G$4&gt;0,(IF(F295&lt;&gt;0,F295*G$4/100," ")),IF(F295&lt;&gt;0,F295*G$2/(100+G$2)," "))</f>
        <v> </v>
      </c>
      <c r="H295" s="2" t="str">
        <f aca="false">IF((F295&lt;&gt;0),F295-G295," ")</f>
        <v> </v>
      </c>
      <c r="L295" s="7" t="str">
        <f aca="false">IF(F295&lt;&gt;0,F295-K295," ")</f>
        <v> </v>
      </c>
      <c r="M295" s="8" t="str">
        <f aca="false">IF((F295-K295)&lt;&gt;0,M$1-A295," ")</f>
        <v> </v>
      </c>
    </row>
    <row r="296" customFormat="false" ht="12" hidden="false" customHeight="false" outlineLevel="0" collapsed="false">
      <c r="G296" s="2" t="str">
        <f aca="false">IF(G$4&gt;0,(IF(F296&lt;&gt;0,F296*G$4/100," ")),IF(F296&lt;&gt;0,F296*G$2/(100+G$2)," "))</f>
        <v> </v>
      </c>
      <c r="H296" s="2" t="str">
        <f aca="false">IF((F296&lt;&gt;0),F296-G296," ")</f>
        <v> </v>
      </c>
      <c r="L296" s="7" t="str">
        <f aca="false">IF(F296&lt;&gt;0,F296-K296," ")</f>
        <v> </v>
      </c>
      <c r="M296" s="8" t="str">
        <f aca="false">IF((F296-K296)&lt;&gt;0,M$1-A296," ")</f>
        <v> </v>
      </c>
    </row>
    <row r="297" customFormat="false" ht="12" hidden="false" customHeight="false" outlineLevel="0" collapsed="false">
      <c r="G297" s="2" t="str">
        <f aca="false">IF(G$4&gt;0,(IF(F297&lt;&gt;0,F297*G$4/100," ")),IF(F297&lt;&gt;0,F297*G$2/(100+G$2)," "))</f>
        <v> </v>
      </c>
      <c r="H297" s="2" t="str">
        <f aca="false">IF((F297&lt;&gt;0),F297-G297," ")</f>
        <v> </v>
      </c>
      <c r="L297" s="7" t="str">
        <f aca="false">IF(F297&lt;&gt;0,F297-K297," ")</f>
        <v> </v>
      </c>
      <c r="M297" s="8" t="str">
        <f aca="false">IF((F297-K297)&lt;&gt;0,M$1-A297," ")</f>
        <v> </v>
      </c>
    </row>
    <row r="298" customFormat="false" ht="12" hidden="false" customHeight="false" outlineLevel="0" collapsed="false">
      <c r="G298" s="2" t="str">
        <f aca="false">IF(G$4&gt;0,(IF(F298&lt;&gt;0,F298*G$4/100," ")),IF(F298&lt;&gt;0,F298*G$2/(100+G$2)," "))</f>
        <v> </v>
      </c>
      <c r="H298" s="2" t="str">
        <f aca="false">IF((F298&lt;&gt;0),F298-G298," ")</f>
        <v> </v>
      </c>
      <c r="L298" s="7" t="str">
        <f aca="false">IF(F298&lt;&gt;0,F298-K298," ")</f>
        <v> </v>
      </c>
      <c r="M298" s="8" t="str">
        <f aca="false">IF((F298-K298)&lt;&gt;0,M$1-A298," ")</f>
        <v> </v>
      </c>
    </row>
    <row r="299" customFormat="false" ht="12" hidden="false" customHeight="false" outlineLevel="0" collapsed="false">
      <c r="G299" s="2" t="str">
        <f aca="false">IF(G$4&gt;0,(IF(F299&lt;&gt;0,F299*G$4/100," ")),IF(F299&lt;&gt;0,F299*G$2/(100+G$2)," "))</f>
        <v> </v>
      </c>
      <c r="H299" s="2" t="str">
        <f aca="false">IF((F299&lt;&gt;0),F299-G299," ")</f>
        <v> </v>
      </c>
      <c r="L299" s="7" t="str">
        <f aca="false">IF(F299&lt;&gt;0,F299-K299," ")</f>
        <v> </v>
      </c>
      <c r="M299" s="8" t="str">
        <f aca="false">IF((F299-K299)&lt;&gt;0,M$1-A299," ")</f>
        <v> </v>
      </c>
    </row>
    <row r="300" customFormat="false" ht="12" hidden="false" customHeight="false" outlineLevel="0" collapsed="false">
      <c r="A300" s="32"/>
      <c r="B300" s="33"/>
      <c r="C300" s="34"/>
      <c r="D300" s="35"/>
      <c r="E300" s="35"/>
      <c r="F300" s="33"/>
      <c r="G300" s="33" t="str">
        <f aca="false">IF(G$4&gt;0,(IF(F300&lt;&gt;0,F300*G$4/100," ")),IF(F300&lt;&gt;0,F300*G$2/(100+G$2)," "))</f>
        <v> </v>
      </c>
      <c r="H300" s="33" t="str">
        <f aca="false">IF((F300&lt;&gt;0),F300-G300," ")</f>
        <v> </v>
      </c>
      <c r="I300" s="33"/>
      <c r="J300" s="36"/>
      <c r="K300" s="37"/>
      <c r="L300" s="38" t="str">
        <f aca="false">IF(F300&lt;&gt;0,F300-K300," ")</f>
        <v> </v>
      </c>
      <c r="M300" s="39" t="str">
        <f aca="false">IF((F300-K300)&lt;&gt;0,M$1-A300," ")</f>
        <v> </v>
      </c>
      <c r="N300" s="33"/>
      <c r="O300" s="33"/>
      <c r="P300" s="33"/>
    </row>
  </sheetData>
  <mergeCells count="19">
    <mergeCell ref="A1:B1"/>
    <mergeCell ref="D1:E1"/>
    <mergeCell ref="I1:I4"/>
    <mergeCell ref="J1:J4"/>
    <mergeCell ref="N1:N4"/>
    <mergeCell ref="A2:A4"/>
    <mergeCell ref="B2:B4"/>
    <mergeCell ref="C2:C4"/>
    <mergeCell ref="D2:D4"/>
    <mergeCell ref="E2:E4"/>
    <mergeCell ref="F2:F4"/>
    <mergeCell ref="H2:H4"/>
    <mergeCell ref="K2:M2"/>
    <mergeCell ref="O2:P2"/>
    <mergeCell ref="K3:K4"/>
    <mergeCell ref="L3:L4"/>
    <mergeCell ref="M3:M4"/>
    <mergeCell ref="O3:O4"/>
    <mergeCell ref="P3:P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</dataValidations>
  <printOptions headings="false" gridLines="false" gridLinesSet="true" horizontalCentered="true" verticalCentered="true"/>
  <pageMargins left="0.354166666666667" right="0.354166666666667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DIY Accounting Limited</dc:creator>
  <dc:description>Copyright (C) 2006-2026 DIY Accounting Limited. Licensed under the PolyForm Internal Use License 1.0.0 with an additional grant for accountants.</dc:description>
  <dc:language>en-US</dc:language>
  <cp:lastModifiedBy>DIY Accounting Limited</cp:lastModifiedBy>
  <cp:lastPrinted>2007-03-02T22:25:05Z</cp:lastPrinted>
  <dcterms:modified xsi:type="dcterms:W3CDTF">2025-04-03T23:05:33Z</dcterms:modified>
  <cp:revision>0</cp:revision>
  <dc:subject/>
  <dc:title>0607 Sales Vat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